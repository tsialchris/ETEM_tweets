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ris\Desktop\"/>
    </mc:Choice>
  </mc:AlternateContent>
  <xr:revisionPtr revIDLastSave="0" documentId="13_ncr:1_{A9F14D97-B2F2-42B1-A00B-AFD6D0112AD1}" xr6:coauthVersionLast="45" xr6:coauthVersionMax="45" xr10:uidLastSave="{00000000-0000-0000-0000-000000000000}"/>
  <workbookProtection workbookAlgorithmName="SHA-512" workbookHashValue="c+gGdr1+xOMXnMDSuD4BWyfnHMHCsnVVmDrOzgwk3b4sO2g5W6Du8E+PLqpT3XZuyURmqfkQy+QeJo2prG9Z0w==" workbookSaltValue="4aIUvqrim2BujjJWEr2eCg==" workbookSpinCount="100000" lockStructure="1"/>
  <bookViews>
    <workbookView xWindow="-120" yWindow="-120" windowWidth="29040" windowHeight="15840" activeTab="1" xr2:uid="{783C1324-DDED-4353-B401-FF7F79CBBE2C}"/>
  </bookViews>
  <sheets>
    <sheet name="Welcome" sheetId="6" r:id="rId1"/>
    <sheet name="Data" sheetId="1" r:id="rId2"/>
    <sheet name="Lists" sheetId="4" r:id="rId3"/>
    <sheet name="Statistics &amp; Visuals" sheetId="5" r:id="rId4"/>
    <sheet name="Engine" sheetId="3" r:id="rId5"/>
  </sheets>
  <definedNames>
    <definedName name="_xlnm._FilterDatabase" localSheetId="1" hidden="1">Data!$A$2:$T$2</definedName>
    <definedName name="Chains_and_Links">OFFSET(Lists!$D$22,1,1,COUNTA(Lists!$A:$A),Lists!$1:$1)</definedName>
    <definedName name="Data_Mid">Data!$N$2</definedName>
    <definedName name="Data_Start">Data!$A$2</definedName>
    <definedName name="Dyn_Chains">OFFSET(Lists!$O$14, 1, COUNTA(Lists!$1:$1),0,0)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" i="3" l="1"/>
  <c r="M16" i="1" l="1"/>
  <c r="K16" i="1"/>
  <c r="I16" i="1"/>
  <c r="M15" i="1"/>
  <c r="K15" i="1"/>
  <c r="I15" i="1"/>
  <c r="M14" i="1"/>
  <c r="K14" i="1"/>
  <c r="I14" i="1"/>
  <c r="M13" i="1"/>
  <c r="K13" i="1"/>
  <c r="I13" i="1"/>
  <c r="M12" i="1"/>
  <c r="K12" i="1"/>
  <c r="I12" i="1"/>
  <c r="M11" i="1"/>
  <c r="K11" i="1"/>
  <c r="I11" i="1"/>
  <c r="M10" i="1"/>
  <c r="K10" i="1"/>
  <c r="I10" i="1"/>
  <c r="M9" i="1"/>
  <c r="K9" i="1"/>
  <c r="I9" i="1"/>
  <c r="M8" i="1"/>
  <c r="K8" i="1"/>
  <c r="I8" i="1"/>
  <c r="M7" i="1"/>
  <c r="K7" i="1"/>
  <c r="I7" i="1"/>
  <c r="M6" i="1"/>
  <c r="K6" i="1"/>
  <c r="I6" i="1"/>
  <c r="M5" i="1"/>
  <c r="K5" i="1"/>
  <c r="I5" i="1"/>
  <c r="M4" i="1"/>
  <c r="K4" i="1"/>
  <c r="I4" i="1"/>
  <c r="M3" i="1"/>
  <c r="K3" i="1"/>
  <c r="I3" i="1"/>
  <c r="K37" i="1" l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22" i="1"/>
  <c r="K17" i="1"/>
  <c r="M17" i="1"/>
  <c r="K18" i="1"/>
  <c r="M18" i="1"/>
  <c r="K19" i="1"/>
  <c r="M19" i="1"/>
  <c r="K20" i="1"/>
  <c r="M20" i="1"/>
  <c r="K21" i="1"/>
  <c r="M21" i="1"/>
  <c r="M22" i="1"/>
  <c r="K23" i="1"/>
  <c r="M23" i="1"/>
  <c r="I24" i="1" l="1"/>
  <c r="K24" i="1"/>
  <c r="M24" i="1"/>
  <c r="I25" i="1"/>
  <c r="K25" i="1"/>
  <c r="M25" i="1"/>
  <c r="I26" i="1"/>
  <c r="K26" i="1"/>
  <c r="M26" i="1"/>
  <c r="I27" i="1"/>
  <c r="K27" i="1"/>
  <c r="M27" i="1"/>
  <c r="I28" i="1"/>
  <c r="K28" i="1"/>
  <c r="M28" i="1"/>
  <c r="I29" i="1"/>
  <c r="K29" i="1"/>
  <c r="M29" i="1"/>
  <c r="I30" i="1"/>
  <c r="K30" i="1"/>
  <c r="M30" i="1"/>
  <c r="I31" i="1"/>
  <c r="K31" i="1"/>
  <c r="M31" i="1"/>
  <c r="I32" i="1"/>
  <c r="K32" i="1"/>
  <c r="M32" i="1"/>
  <c r="I33" i="1"/>
  <c r="K33" i="1"/>
  <c r="I34" i="1"/>
  <c r="K34" i="1"/>
  <c r="I35" i="1"/>
  <c r="K35" i="1"/>
  <c r="I36" i="1"/>
  <c r="K36" i="1"/>
</calcChain>
</file>

<file path=xl/sharedStrings.xml><?xml version="1.0" encoding="utf-8"?>
<sst xmlns="http://schemas.openxmlformats.org/spreadsheetml/2006/main" count="251" uniqueCount="150">
  <si>
    <t>Status</t>
  </si>
  <si>
    <t>Christos</t>
  </si>
  <si>
    <t>Code</t>
  </si>
  <si>
    <t>D.O. Publication</t>
  </si>
  <si>
    <t>D.O. Creation</t>
  </si>
  <si>
    <t>Region</t>
  </si>
  <si>
    <t>Subject</t>
  </si>
  <si>
    <t>A</t>
  </si>
  <si>
    <t>B</t>
  </si>
  <si>
    <t>C</t>
  </si>
  <si>
    <t>Sources - doc &amp; media</t>
  </si>
  <si>
    <t>Turkey</t>
  </si>
  <si>
    <t>Russia</t>
  </si>
  <si>
    <t>Per Aspera Ad Astra</t>
  </si>
  <si>
    <t>Caucasus</t>
  </si>
  <si>
    <t>Asia</t>
  </si>
  <si>
    <t>Politics</t>
  </si>
  <si>
    <t>Economy</t>
  </si>
  <si>
    <t>Culture</t>
  </si>
  <si>
    <t>Religion</t>
  </si>
  <si>
    <t>Foreign Affairs</t>
  </si>
  <si>
    <t>Iran</t>
  </si>
  <si>
    <t>Energy</t>
  </si>
  <si>
    <t>#</t>
  </si>
  <si>
    <t>D.P.P.</t>
  </si>
  <si>
    <t>Alex</t>
  </si>
  <si>
    <t>D.O.L.E</t>
  </si>
  <si>
    <t>38</t>
  </si>
  <si>
    <t>#15</t>
  </si>
  <si>
    <t>#16</t>
  </si>
  <si>
    <t>#17</t>
  </si>
  <si>
    <t>ID</t>
  </si>
  <si>
    <t>User_ID</t>
  </si>
  <si>
    <t>User_Name</t>
  </si>
  <si>
    <t>Password</t>
  </si>
  <si>
    <t>Role</t>
  </si>
  <si>
    <t>D</t>
  </si>
  <si>
    <t>E</t>
  </si>
  <si>
    <t>NR</t>
  </si>
  <si>
    <t>-</t>
  </si>
  <si>
    <t>test</t>
  </si>
  <si>
    <t xml:space="preserve"> </t>
  </si>
  <si>
    <t>#Erdogan</t>
  </si>
  <si>
    <t>test#3</t>
  </si>
  <si>
    <t xml:space="preserve">turkeyonline ... </t>
  </si>
  <si>
    <t>R - NP</t>
  </si>
  <si>
    <t>key</t>
  </si>
  <si>
    <t>I</t>
  </si>
  <si>
    <t>II</t>
  </si>
  <si>
    <t>III</t>
  </si>
  <si>
    <t>IV</t>
  </si>
  <si>
    <t>V</t>
  </si>
  <si>
    <t>Username</t>
  </si>
  <si>
    <t>Text</t>
  </si>
  <si>
    <t>Count</t>
  </si>
  <si>
    <t>TESTING</t>
  </si>
  <si>
    <t>DSG</t>
  </si>
  <si>
    <t>28/5/2020 - 19:00</t>
  </si>
  <si>
    <t>HDFGHDF</t>
  </si>
  <si>
    <t>29/5/2020 - 19:00</t>
  </si>
  <si>
    <t>hqdrhrthsaz</t>
  </si>
  <si>
    <t>#1</t>
  </si>
  <si>
    <t>#2</t>
  </si>
  <si>
    <t>#3</t>
  </si>
  <si>
    <t>#4</t>
  </si>
  <si>
    <t>#5</t>
  </si>
  <si>
    <t>u1</t>
  </si>
  <si>
    <t>u2</t>
  </si>
  <si>
    <t>username</t>
  </si>
  <si>
    <t>role</t>
  </si>
  <si>
    <t>Global Variables:</t>
  </si>
  <si>
    <t>7th</t>
  </si>
  <si>
    <t>8th</t>
  </si>
  <si>
    <t>9th</t>
  </si>
  <si>
    <t>10th</t>
  </si>
  <si>
    <t>11th</t>
  </si>
  <si>
    <t>12th</t>
  </si>
  <si>
    <t>13th</t>
  </si>
  <si>
    <t>14th</t>
  </si>
  <si>
    <t>15th</t>
  </si>
  <si>
    <t>16th</t>
  </si>
  <si>
    <t>17th</t>
  </si>
  <si>
    <t>18th</t>
  </si>
  <si>
    <t>19th</t>
  </si>
  <si>
    <t>20th</t>
  </si>
  <si>
    <t>Despoina</t>
  </si>
  <si>
    <t>Mr.Nikolaos</t>
  </si>
  <si>
    <t>su1</t>
  </si>
  <si>
    <t>sources</t>
  </si>
  <si>
    <t>hashtag</t>
  </si>
  <si>
    <t>test#2</t>
  </si>
  <si>
    <t>cnn.com/ ... , eurasianet.com/ ...</t>
  </si>
  <si>
    <t>#Iran, #Trump</t>
  </si>
  <si>
    <t>politica</t>
  </si>
  <si>
    <t>#Iran</t>
  </si>
  <si>
    <t>adsfasdf</t>
  </si>
  <si>
    <t>asdf</t>
  </si>
  <si>
    <t>source1, source2</t>
  </si>
  <si>
    <t>hashtag!</t>
  </si>
  <si>
    <t>source</t>
  </si>
  <si>
    <t>#hash</t>
  </si>
  <si>
    <t>rtery</t>
  </si>
  <si>
    <t>FGADHSDH</t>
  </si>
  <si>
    <t>ARGARG</t>
  </si>
  <si>
    <t>GHSHTAHA</t>
  </si>
  <si>
    <t>DGHG</t>
  </si>
  <si>
    <t>sadgadga</t>
  </si>
  <si>
    <t>afgagfda</t>
  </si>
  <si>
    <t>twra</t>
  </si>
  <si>
    <t>na doume</t>
  </si>
  <si>
    <t>31/7/3030 - 21:00</t>
  </si>
  <si>
    <t>etst</t>
  </si>
  <si>
    <t>#TESTING</t>
  </si>
  <si>
    <t>This is a Test</t>
  </si>
  <si>
    <t>ERROR.COM</t>
  </si>
  <si>
    <t/>
  </si>
  <si>
    <t>P</t>
  </si>
  <si>
    <t>asf</t>
  </si>
  <si>
    <t>asd</t>
  </si>
  <si>
    <t>WE ARE READY! ARE YOU READY?</t>
  </si>
  <si>
    <t>C &amp; L</t>
  </si>
  <si>
    <t>#TEST1</t>
  </si>
  <si>
    <t>test.gr</t>
  </si>
  <si>
    <t>#TEST2</t>
  </si>
  <si>
    <t>6/1/2020 6:25:21 PM</t>
  </si>
  <si>
    <t>test.com</t>
  </si>
  <si>
    <t>Test23</t>
  </si>
  <si>
    <t>Test12</t>
  </si>
  <si>
    <t>#TEST3</t>
  </si>
  <si>
    <t>Test3</t>
  </si>
  <si>
    <t>dsgfa</t>
  </si>
  <si>
    <t>uiahfsghifs</t>
  </si>
  <si>
    <t>fjghf</t>
  </si>
  <si>
    <t>#Turkey</t>
  </si>
  <si>
    <t>2/6/2020 - 19:00</t>
  </si>
  <si>
    <t xml:space="preserve">Turkish declarations. </t>
  </si>
  <si>
    <t>TFAMinistry</t>
  </si>
  <si>
    <t>F</t>
  </si>
  <si>
    <t>1--A</t>
  </si>
  <si>
    <t>1--B</t>
  </si>
  <si>
    <t>2--A</t>
  </si>
  <si>
    <t>3--A</t>
  </si>
  <si>
    <t>4--A</t>
  </si>
  <si>
    <t>4--B</t>
  </si>
  <si>
    <t>5--A</t>
  </si>
  <si>
    <t>5--B</t>
  </si>
  <si>
    <t>5--C</t>
  </si>
  <si>
    <t>ΔΠΣΙΦΙΟΑΗΣΔ</t>
  </si>
  <si>
    <t>Όλα καλά ΛΕΙΤΟΥΡΓΕΙΙΙΙΙΙΙΙΙΙΙΙΙ</t>
  </si>
  <si>
    <t>ΧΑΧΑΧΑ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</si>
</sst>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5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  <charset val="161"/>
    </font>
    <font>
      <sz val="8"/>
      <name val="Calibri"/>
      <family val="2"/>
      <scheme val="minor"/>
    </font>
    <font>
      <sz val="14"/>
      <color rgb="FF000000"/>
      <name val="Times New Roman"/>
      <family val="1"/>
      <charset val="161"/>
    </font>
    <font>
      <b/>
      <sz val="14"/>
      <color theme="1"/>
      <name val="Times New Roman"/>
      <family val="1"/>
      <charset val="161"/>
    </font>
    <font>
      <sz val="14"/>
      <color theme="1"/>
      <name val="Calibri"/>
      <family val="2"/>
      <scheme val="minor"/>
    </font>
    <font>
      <i/>
      <sz val="14"/>
      <color theme="1"/>
      <name val="Calibri"/>
      <family val="2"/>
      <charset val="161"/>
      <scheme val="minor"/>
    </font>
    <font>
      <sz val="11"/>
      <color theme="1"/>
      <name val="Times New Roman"/>
      <family val="1"/>
      <charset val="161"/>
    </font>
    <font>
      <sz val="11"/>
      <color indexed="8"/>
      <name val="Calibri"/>
      <family val="2"/>
      <charset val="161"/>
    </font>
    <font>
      <sz val="10"/>
      <color indexed="8"/>
      <name val="Arial"/>
      <family val="2"/>
      <charset val="161"/>
    </font>
    <font>
      <sz val="48"/>
      <color rgb="FF000000"/>
      <name val="Times New Roman"/>
      <family val="1"/>
      <charset val="161"/>
    </font>
    <font>
      <sz val="18"/>
      <color theme="1"/>
      <name val="Times New Roman"/>
      <family val="1"/>
      <charset val="161"/>
    </font>
    <font>
      <sz val="18"/>
      <color rgb="FF000000"/>
      <name val="Times New Roman"/>
      <family val="1"/>
      <charset val="161"/>
    </font>
    <font>
      <b/>
      <sz val="18"/>
      <color theme="1"/>
      <name val="Times New Roman"/>
      <family val="1"/>
      <charset val="161"/>
    </font>
    <font>
      <sz val="14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59999389629810485"/>
        <bgColor rgb="FF000000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2">
    <xf numFmtId="0" fontId="0" fillId="0" borderId="0"/>
    <xf numFmtId="0" fontId="9" fillId="0" borderId="0"/>
  </cellStyleXfs>
  <cellXfs count="67">
    <xf numFmtId="0" fontId="0" fillId="0" borderId="0" xfId="0"/>
    <xf numFmtId="0" fontId="1" fillId="0" borderId="0" xfId="0" applyNumberFormat="1" applyFont="1" applyAlignment="1">
      <alignment horizontal="left"/>
    </xf>
    <xf numFmtId="0" fontId="1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6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3" fillId="5" borderId="2" xfId="0" applyNumberFormat="1" applyFont="1" applyFill="1" applyBorder="1" applyAlignment="1">
      <alignment horizontal="center"/>
    </xf>
    <xf numFmtId="0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1" fillId="0" borderId="0" xfId="0" applyNumberFormat="1" applyFont="1" applyAlignment="1">
      <alignment horizontal="center" wrapText="1"/>
    </xf>
    <xf numFmtId="0" fontId="3" fillId="3" borderId="2" xfId="0" applyNumberFormat="1" applyFont="1" applyFill="1" applyBorder="1" applyAlignment="1">
      <alignment horizontal="center"/>
    </xf>
    <xf numFmtId="22" fontId="1" fillId="0" borderId="0" xfId="0" applyNumberFormat="1" applyFont="1" applyAlignment="1">
      <alignment horizontal="center"/>
    </xf>
    <xf numFmtId="22" fontId="3" fillId="0" borderId="0" xfId="0" applyNumberFormat="1" applyFont="1" applyAlignment="1">
      <alignment horizontal="center"/>
    </xf>
    <xf numFmtId="0" fontId="3" fillId="4" borderId="2" xfId="0" applyNumberFormat="1" applyFont="1" applyFill="1" applyBorder="1" applyAlignment="1">
      <alignment horizontal="center"/>
    </xf>
    <xf numFmtId="0" fontId="1" fillId="4" borderId="2" xfId="0" applyNumberFormat="1" applyFont="1" applyFill="1" applyBorder="1" applyAlignment="1">
      <alignment horizontal="center" wrapText="1"/>
    </xf>
    <xf numFmtId="22" fontId="1" fillId="4" borderId="3" xfId="0" applyNumberFormat="1" applyFont="1" applyFill="1" applyBorder="1" applyAlignment="1">
      <alignment horizontal="center" wrapText="1"/>
    </xf>
    <xf numFmtId="164" fontId="1" fillId="4" borderId="2" xfId="0" applyNumberFormat="1" applyFont="1" applyFill="1" applyBorder="1" applyAlignment="1">
      <alignment horizontal="center" wrapText="1"/>
    </xf>
    <xf numFmtId="22" fontId="1" fillId="4" borderId="2" xfId="0" applyNumberFormat="1" applyFont="1" applyFill="1" applyBorder="1" applyAlignment="1">
      <alignment horizontal="center" wrapText="1"/>
    </xf>
    <xf numFmtId="0" fontId="1" fillId="4" borderId="2" xfId="0" applyNumberFormat="1" applyFont="1" applyFill="1" applyBorder="1" applyAlignment="1">
      <alignment horizontal="center"/>
    </xf>
    <xf numFmtId="0" fontId="1" fillId="5" borderId="2" xfId="0" applyNumberFormat="1" applyFont="1" applyFill="1" applyBorder="1" applyAlignment="1">
      <alignment horizontal="center"/>
    </xf>
    <xf numFmtId="22" fontId="3" fillId="4" borderId="3" xfId="0" applyNumberFormat="1" applyFont="1" applyFill="1" applyBorder="1" applyAlignment="1">
      <alignment horizontal="center"/>
    </xf>
    <xf numFmtId="164" fontId="3" fillId="4" borderId="2" xfId="0" applyNumberFormat="1" applyFont="1" applyFill="1" applyBorder="1" applyAlignment="1">
      <alignment horizontal="center"/>
    </xf>
    <xf numFmtId="22" fontId="3" fillId="4" borderId="2" xfId="0" applyNumberFormat="1" applyFont="1" applyFill="1" applyBorder="1" applyAlignment="1">
      <alignment horizontal="center"/>
    </xf>
    <xf numFmtId="49" fontId="3" fillId="4" borderId="2" xfId="0" applyNumberFormat="1" applyFont="1" applyFill="1" applyBorder="1" applyAlignment="1">
      <alignment horizontal="center"/>
    </xf>
    <xf numFmtId="0" fontId="1" fillId="0" borderId="2" xfId="0" applyNumberFormat="1" applyFont="1" applyBorder="1" applyAlignment="1">
      <alignment horizontal="center"/>
    </xf>
    <xf numFmtId="0" fontId="7" fillId="0" borderId="0" xfId="0" applyNumberFormat="1" applyFont="1" applyAlignment="1">
      <alignment horizontal="center"/>
    </xf>
    <xf numFmtId="0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4" borderId="2" xfId="0" applyNumberFormat="1" applyFont="1" applyFill="1" applyBorder="1" applyAlignment="1">
      <alignment horizontal="center"/>
    </xf>
    <xf numFmtId="0" fontId="0" fillId="2" borderId="0" xfId="0" applyFill="1"/>
    <xf numFmtId="0" fontId="8" fillId="7" borderId="7" xfId="1" applyFont="1" applyFill="1" applyBorder="1" applyAlignment="1">
      <alignment horizontal="center"/>
    </xf>
    <xf numFmtId="0" fontId="8" fillId="0" borderId="8" xfId="1" applyFont="1" applyFill="1" applyBorder="1" applyAlignment="1">
      <alignment horizontal="right" wrapText="1"/>
    </xf>
    <xf numFmtId="0" fontId="8" fillId="0" borderId="8" xfId="1" applyFont="1" applyFill="1" applyBorder="1" applyAlignment="1">
      <alignment wrapText="1"/>
    </xf>
    <xf numFmtId="0" fontId="5" fillId="8" borderId="0" xfId="0" applyFont="1" applyFill="1"/>
    <xf numFmtId="22" fontId="3" fillId="0" borderId="0" xfId="0" applyNumberFormat="1" applyFont="1" applyBorder="1" applyAlignment="1">
      <alignment horizontal="center"/>
    </xf>
    <xf numFmtId="164" fontId="1" fillId="0" borderId="0" xfId="0" applyNumberFormat="1" applyFont="1" applyBorder="1" applyAlignment="1">
      <alignment horizontal="center"/>
    </xf>
    <xf numFmtId="22" fontId="1" fillId="0" borderId="0" xfId="0" applyNumberFormat="1" applyFont="1" applyBorder="1" applyAlignment="1">
      <alignment horizontal="center"/>
    </xf>
    <xf numFmtId="0" fontId="1" fillId="0" borderId="0" xfId="0" applyNumberFormat="1" applyFont="1" applyBorder="1" applyAlignment="1">
      <alignment horizontal="center"/>
    </xf>
    <xf numFmtId="49" fontId="1" fillId="0" borderId="0" xfId="0" applyNumberFormat="1" applyFont="1" applyBorder="1" applyAlignment="1">
      <alignment horizontal="center"/>
    </xf>
    <xf numFmtId="0" fontId="1" fillId="0" borderId="0" xfId="0" applyNumberFormat="1" applyFont="1" applyBorder="1" applyAlignment="1">
      <alignment horizontal="center" wrapText="1"/>
    </xf>
    <xf numFmtId="0" fontId="3" fillId="3" borderId="2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0" xfId="0" quotePrefix="1" applyFont="1" applyAlignment="1">
      <alignment horizontal="center"/>
    </xf>
    <xf numFmtId="0" fontId="3" fillId="4" borderId="2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 wrapText="1"/>
    </xf>
    <xf numFmtId="0" fontId="1" fillId="4" borderId="2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wrapText="1"/>
    </xf>
    <xf numFmtId="0" fontId="4" fillId="0" borderId="0" xfId="0" applyFont="1" applyAlignment="1">
      <alignment horizontal="center"/>
    </xf>
    <xf numFmtId="49" fontId="1" fillId="10" borderId="1" xfId="0" applyNumberFormat="1" applyFont="1" applyFill="1" applyBorder="1" applyAlignment="1">
      <alignment horizontal="center"/>
    </xf>
    <xf numFmtId="0" fontId="11" fillId="11" borderId="1" xfId="0" applyFont="1" applyFill="1" applyBorder="1" applyAlignment="1">
      <alignment horizontal="center"/>
    </xf>
    <xf numFmtId="0" fontId="11" fillId="9" borderId="2" xfId="0" applyFont="1" applyFill="1" applyBorder="1" applyAlignment="1">
      <alignment horizontal="center"/>
    </xf>
    <xf numFmtId="0" fontId="12" fillId="12" borderId="4" xfId="0" applyFont="1" applyFill="1" applyBorder="1" applyAlignment="1">
      <alignment horizontal="center"/>
    </xf>
    <xf numFmtId="0" fontId="11" fillId="9" borderId="1" xfId="0" applyFont="1" applyFill="1" applyBorder="1" applyAlignment="1">
      <alignment horizontal="center"/>
    </xf>
    <xf numFmtId="49" fontId="11" fillId="9" borderId="1" xfId="0" applyNumberFormat="1" applyFont="1" applyFill="1" applyBorder="1" applyAlignment="1">
      <alignment horizontal="center"/>
    </xf>
    <xf numFmtId="49" fontId="13" fillId="10" borderId="1" xfId="0" applyNumberFormat="1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10" borderId="1" xfId="0" applyFont="1" applyFill="1" applyBorder="1" applyAlignment="1">
      <alignment horizontal="center"/>
    </xf>
    <xf numFmtId="49" fontId="13" fillId="9" borderId="1" xfId="0" applyNumberFormat="1" applyFont="1" applyFill="1" applyBorder="1" applyAlignment="1">
      <alignment horizontal="center"/>
    </xf>
    <xf numFmtId="49" fontId="1" fillId="10" borderId="0" xfId="0" applyNumberFormat="1" applyFont="1" applyFill="1" applyAlignment="1">
      <alignment horizontal="center"/>
    </xf>
    <xf numFmtId="164" fontId="1" fillId="0" borderId="0" xfId="0" quotePrefix="1" applyNumberFormat="1" applyFont="1" applyAlignment="1">
      <alignment horizontal="center"/>
    </xf>
    <xf numFmtId="0" fontId="10" fillId="12" borderId="5" xfId="0" applyNumberFormat="1" applyFont="1" applyFill="1" applyBorder="1" applyAlignment="1">
      <alignment horizontal="center"/>
    </xf>
    <xf numFmtId="0" fontId="10" fillId="12" borderId="6" xfId="0" applyNumberFormat="1" applyFont="1" applyFill="1" applyBorder="1" applyAlignment="1">
      <alignment horizontal="center"/>
    </xf>
  </cellXfs>
  <cellStyles count="2">
    <cellStyle name="Normal" xfId="0" builtinId="0"/>
    <cellStyle name="Normal_Engine" xfId="1" xr:uid="{7B080BF1-4789-4418-B1BB-F6517C4A344C}"/>
  </cellStyles>
  <dxfs count="0"/>
  <tableStyles count="0" defaultTableStyle="TableStyleMedium2" defaultPivotStyle="PivotStyleLight16"/>
  <colors>
    <mruColors>
      <color rgb="FFBEAECA"/>
      <color rgb="FF87CD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7</xdr:col>
      <xdr:colOff>0</xdr:colOff>
      <xdr:row>3</xdr:row>
      <xdr:rowOff>12286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525"/>
          <a:ext cx="4267200" cy="574261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123825</xdr:colOff>
          <xdr:row>8</xdr:row>
          <xdr:rowOff>19050</xdr:rowOff>
        </xdr:from>
        <xdr:to>
          <xdr:col>13</xdr:col>
          <xdr:colOff>542925</xdr:colOff>
          <xdr:row>13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 to START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304798</xdr:colOff>
      <xdr:row>20</xdr:row>
      <xdr:rowOff>28575</xdr:rowOff>
    </xdr:from>
    <xdr:to>
      <xdr:col>19</xdr:col>
      <xdr:colOff>419099</xdr:colOff>
      <xdr:row>22</xdr:row>
      <xdr:rowOff>38100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8229598" y="3838575"/>
          <a:ext cx="3771901" cy="3905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aseline="0">
              <a:latin typeface="Times New Roman" panose="02020603050405020304" pitchFamily="18" charset="0"/>
              <a:cs typeface="Times New Roman" panose="02020603050405020304" pitchFamily="18" charset="0"/>
            </a:rPr>
            <a:t>Toumpanakis</a:t>
          </a:r>
          <a:r>
            <a:rPr lang="el-GR" sz="1600" baseline="0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US" sz="1600" baseline="0">
              <a:latin typeface="Times New Roman" panose="02020603050405020304" pitchFamily="18" charset="0"/>
              <a:cs typeface="Times New Roman" panose="02020603050405020304" pitchFamily="18" charset="0"/>
            </a:rPr>
            <a:t>Nikolaos,</a:t>
          </a:r>
          <a:r>
            <a:rPr lang="en-US" sz="1800" baseline="0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US" sz="1600" baseline="0">
              <a:latin typeface="Times New Roman" panose="02020603050405020304" pitchFamily="18" charset="0"/>
              <a:cs typeface="Times New Roman" panose="02020603050405020304" pitchFamily="18" charset="0"/>
            </a:rPr>
            <a:t>Piraeus, May 2020</a:t>
          </a:r>
          <a:endParaRPr lang="el-GR" sz="16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304797</xdr:colOff>
      <xdr:row>21</xdr:row>
      <xdr:rowOff>161925</xdr:rowOff>
    </xdr:from>
    <xdr:to>
      <xdr:col>19</xdr:col>
      <xdr:colOff>714375</xdr:colOff>
      <xdr:row>23</xdr:row>
      <xdr:rowOff>123825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8229597" y="4162425"/>
          <a:ext cx="4067178" cy="3429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aseline="0">
              <a:latin typeface="Times New Roman" panose="02020603050405020304" pitchFamily="18" charset="0"/>
              <a:cs typeface="Times New Roman" panose="02020603050405020304" pitchFamily="18" charset="0"/>
            </a:rPr>
            <a:t>Tsialamanis Christodoulos,</a:t>
          </a:r>
          <a:r>
            <a:rPr lang="en-US" sz="1800" baseline="0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US" sz="1600" baseline="0">
              <a:latin typeface="Times New Roman" panose="02020603050405020304" pitchFamily="18" charset="0"/>
              <a:cs typeface="Times New Roman" panose="02020603050405020304" pitchFamily="18" charset="0"/>
            </a:rPr>
            <a:t>Piraeus, May 2020</a:t>
          </a:r>
          <a:endParaRPr lang="el-GR" sz="16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0</xdr:row>
      <xdr:rowOff>19050</xdr:rowOff>
    </xdr:from>
    <xdr:to>
      <xdr:col>1</xdr:col>
      <xdr:colOff>571500</xdr:colOff>
      <xdr:row>1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9050"/>
          <a:ext cx="1047750" cy="10477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8C908F-A5C9-4DDF-95F5-113AF3A76872}">
  <sheetPr codeName="Sheet5"/>
  <dimension ref="A24"/>
  <sheetViews>
    <sheetView zoomScaleNormal="90" workbookViewId="0">
      <pane xSplit="28" ySplit="37" topLeftCell="AC44" activePane="bottomRight" state="frozen"/>
      <selection pane="topRight" activeCell="AC1" sqref="AC1"/>
      <selection pane="bottomLeft" activeCell="A38" sqref="A38"/>
      <selection pane="bottomRight" activeCell="E8" sqref="E8"/>
    </sheetView>
  </sheetViews>
  <sheetFormatPr defaultRowHeight="15" x14ac:dyDescent="0.25"/>
  <cols>
    <col min="1" max="19" width="9.140625" style="31"/>
    <col min="20" max="20" width="14.5703125" style="31" customWidth="1"/>
    <col min="21" max="16384" width="9.140625" style="31"/>
  </cols>
  <sheetData>
    <row r="24" ht="19.5" customHeight="1" x14ac:dyDescent="0.25"/>
  </sheetData>
  <sheetProtection algorithmName="SHA-512" hashValue="l+ACci3fEA+RzsjeDyVoxKPUcjoNMB3/F2d9OQcuZWEBvxFkgbWAaSMQEO/sFtSiobi/BHHpx9M90bdGyy70ww==" saltValue="9UjfuB0QJ91GOsxWT7nUzg==" spinCount="100000" sheet="1" objects="1" scenarios="1" selectLockedCells="1" selectUnlockedCell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TART.START">
                <anchor moveWithCells="1" sizeWithCells="1">
                  <from>
                    <xdr:col>7</xdr:col>
                    <xdr:colOff>123825</xdr:colOff>
                    <xdr:row>8</xdr:row>
                    <xdr:rowOff>19050</xdr:rowOff>
                  </from>
                  <to>
                    <xdr:col>13</xdr:col>
                    <xdr:colOff>542925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6771C-D7DC-4E86-AAC9-3FCBD0915BCD}">
  <sheetPr codeName="Sheet2"/>
  <dimension ref="A1:T346"/>
  <sheetViews>
    <sheetView tabSelected="1" zoomScale="60" zoomScaleNormal="85" workbookViewId="0">
      <pane xSplit="2" ySplit="2" topLeftCell="C3" activePane="bottomRight" state="frozenSplit"/>
      <selection pane="topRight" activeCell="B1" sqref="B1"/>
      <selection pane="bottomLeft" activeCell="A2" sqref="A2"/>
      <selection pane="bottomRight" activeCell="E9" sqref="E9"/>
    </sheetView>
  </sheetViews>
  <sheetFormatPr defaultRowHeight="18.75" x14ac:dyDescent="0.3"/>
  <cols>
    <col min="1" max="1" width="12" style="26" customWidth="1"/>
    <col min="2" max="2" width="14.5703125" style="21" customWidth="1"/>
    <col min="3" max="3" width="25.42578125" style="9" customWidth="1"/>
    <col min="4" max="4" width="33.42578125" style="10" customWidth="1"/>
    <col min="5" max="5" width="23.85546875" style="9" customWidth="1"/>
    <col min="6" max="6" width="29.5703125" style="10" customWidth="1"/>
    <col min="7" max="7" width="15.85546875" style="9" customWidth="1"/>
    <col min="8" max="8" width="22.7109375" style="63" customWidth="1"/>
    <col min="9" max="9" width="5.140625" style="11" hidden="1" customWidth="1"/>
    <col min="10" max="10" width="16.42578125" style="29" customWidth="1"/>
    <col min="11" max="11" width="9.42578125" style="11" bestFit="1" customWidth="1"/>
    <col min="12" max="12" width="19.140625" style="29" hidden="1" customWidth="1"/>
    <col min="13" max="13" width="7.5703125" style="27" hidden="1" customWidth="1"/>
    <col min="14" max="14" width="38" style="9" bestFit="1" customWidth="1"/>
    <col min="15" max="15" width="18.28515625" style="9" bestFit="1" customWidth="1"/>
    <col min="16" max="17" width="18.7109375" style="9" customWidth="1"/>
    <col min="18" max="18" width="3.5703125" style="6" customWidth="1"/>
    <col min="19" max="16384" width="9.140625" style="7"/>
  </cols>
  <sheetData>
    <row r="1" spans="1:20" ht="84" customHeight="1" x14ac:dyDescent="0.85">
      <c r="A1" s="65" t="s">
        <v>13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</row>
    <row r="2" spans="1:20" ht="39.75" customHeight="1" x14ac:dyDescent="0.35">
      <c r="A2" s="54" t="s">
        <v>2</v>
      </c>
      <c r="B2" s="55" t="s">
        <v>120</v>
      </c>
      <c r="C2" s="56" t="s">
        <v>4</v>
      </c>
      <c r="D2" s="57" t="s">
        <v>24</v>
      </c>
      <c r="E2" s="57" t="s">
        <v>26</v>
      </c>
      <c r="F2" s="57" t="s">
        <v>3</v>
      </c>
      <c r="G2" s="58" t="s">
        <v>0</v>
      </c>
      <c r="H2" s="59" t="s">
        <v>52</v>
      </c>
      <c r="I2" s="60" t="s">
        <v>7</v>
      </c>
      <c r="J2" s="59" t="s">
        <v>53</v>
      </c>
      <c r="K2" s="61" t="s">
        <v>54</v>
      </c>
      <c r="L2" s="62" t="s">
        <v>55</v>
      </c>
      <c r="M2" s="57" t="s">
        <v>9</v>
      </c>
      <c r="N2" s="57" t="s">
        <v>10</v>
      </c>
      <c r="O2" s="57" t="s">
        <v>23</v>
      </c>
      <c r="P2" s="57" t="s">
        <v>5</v>
      </c>
      <c r="Q2" s="57" t="s">
        <v>6</v>
      </c>
      <c r="R2" s="6" t="s">
        <v>41</v>
      </c>
    </row>
    <row r="3" spans="1:20" x14ac:dyDescent="0.3">
      <c r="A3" s="42">
        <v>1</v>
      </c>
      <c r="B3" s="43" t="s">
        <v>140</v>
      </c>
      <c r="C3" s="13">
        <v>43976.740254629629</v>
      </c>
      <c r="D3" s="10">
        <v>43977</v>
      </c>
      <c r="E3" s="13">
        <v>43976.740254629629</v>
      </c>
      <c r="F3" s="10" t="s">
        <v>39</v>
      </c>
      <c r="G3" s="44" t="s">
        <v>38</v>
      </c>
      <c r="H3" s="53"/>
      <c r="I3" s="44">
        <f t="shared" ref="I3:I16" si="0">LEN(H3)</f>
        <v>0</v>
      </c>
      <c r="K3" s="45">
        <f t="shared" ref="K3:K16" si="1">LEN(J3)</f>
        <v>0</v>
      </c>
      <c r="M3" s="44">
        <f t="shared" ref="M3:M16" si="2">LEN(L3)</f>
        <v>0</v>
      </c>
      <c r="N3" s="46" t="s">
        <v>88</v>
      </c>
      <c r="O3" s="44" t="s">
        <v>89</v>
      </c>
      <c r="P3" s="44" t="s">
        <v>15</v>
      </c>
      <c r="Q3" s="44" t="s">
        <v>18</v>
      </c>
      <c r="R3" s="6" t="s">
        <v>41</v>
      </c>
      <c r="S3" s="7" t="s">
        <v>41</v>
      </c>
    </row>
    <row r="4" spans="1:20" x14ac:dyDescent="0.3">
      <c r="A4" s="42">
        <v>2</v>
      </c>
      <c r="B4" s="43" t="s">
        <v>141</v>
      </c>
      <c r="C4" s="13">
        <v>43976.743356481478</v>
      </c>
      <c r="D4" s="10">
        <v>43978</v>
      </c>
      <c r="E4" s="13">
        <v>43976.743356481478</v>
      </c>
      <c r="F4" s="10" t="s">
        <v>39</v>
      </c>
      <c r="G4" s="44" t="s">
        <v>38</v>
      </c>
      <c r="H4" s="53"/>
      <c r="I4" s="44">
        <f t="shared" si="0"/>
        <v>0</v>
      </c>
      <c r="J4" s="29" t="s">
        <v>90</v>
      </c>
      <c r="K4" s="45">
        <f t="shared" si="1"/>
        <v>6</v>
      </c>
      <c r="M4" s="44">
        <f t="shared" si="2"/>
        <v>0</v>
      </c>
      <c r="N4" s="44" t="s">
        <v>91</v>
      </c>
      <c r="O4" s="44" t="s">
        <v>92</v>
      </c>
      <c r="P4" s="44" t="s">
        <v>21</v>
      </c>
      <c r="Q4" s="44" t="s">
        <v>22</v>
      </c>
      <c r="R4" s="6" t="s">
        <v>41</v>
      </c>
      <c r="S4" s="7" t="s">
        <v>41</v>
      </c>
    </row>
    <row r="5" spans="1:20" x14ac:dyDescent="0.3">
      <c r="A5" s="42">
        <v>3</v>
      </c>
      <c r="B5" s="43" t="s">
        <v>138</v>
      </c>
      <c r="C5" s="14">
        <v>43976.745451388888</v>
      </c>
      <c r="D5" s="10">
        <v>43978</v>
      </c>
      <c r="E5" s="13">
        <v>43976.745451388888</v>
      </c>
      <c r="F5" s="10" t="s">
        <v>39</v>
      </c>
      <c r="G5" s="44" t="s">
        <v>38</v>
      </c>
      <c r="H5" s="53" t="s">
        <v>43</v>
      </c>
      <c r="I5" s="44">
        <f t="shared" si="0"/>
        <v>6</v>
      </c>
      <c r="K5" s="45">
        <f t="shared" si="1"/>
        <v>0</v>
      </c>
      <c r="M5" s="44">
        <f t="shared" si="2"/>
        <v>0</v>
      </c>
      <c r="N5" s="44" t="s">
        <v>44</v>
      </c>
      <c r="O5" s="44" t="s">
        <v>42</v>
      </c>
      <c r="P5" s="44" t="s">
        <v>11</v>
      </c>
      <c r="Q5" s="44" t="s">
        <v>19</v>
      </c>
      <c r="R5" s="6" t="s">
        <v>41</v>
      </c>
      <c r="S5" s="7" t="s">
        <v>41</v>
      </c>
    </row>
    <row r="6" spans="1:20" x14ac:dyDescent="0.3">
      <c r="A6" s="42">
        <v>4</v>
      </c>
      <c r="B6" s="43" t="s">
        <v>139</v>
      </c>
      <c r="C6" s="14">
        <v>43976.755949074075</v>
      </c>
      <c r="D6" s="10">
        <v>43976</v>
      </c>
      <c r="E6" s="13">
        <v>43976.759363425925</v>
      </c>
      <c r="F6" s="10">
        <v>43976.758402777778</v>
      </c>
      <c r="G6" s="44" t="s">
        <v>38</v>
      </c>
      <c r="H6" s="53"/>
      <c r="I6" s="44">
        <f t="shared" si="0"/>
        <v>0</v>
      </c>
      <c r="K6" s="45">
        <f t="shared" si="1"/>
        <v>0</v>
      </c>
      <c r="M6" s="44">
        <f t="shared" si="2"/>
        <v>0</v>
      </c>
      <c r="N6" s="44" t="s">
        <v>93</v>
      </c>
      <c r="O6" s="44" t="s">
        <v>94</v>
      </c>
      <c r="P6" s="44" t="s">
        <v>21</v>
      </c>
      <c r="Q6" s="44" t="s">
        <v>16</v>
      </c>
    </row>
    <row r="7" spans="1:20" x14ac:dyDescent="0.3">
      <c r="A7" s="42">
        <v>5</v>
      </c>
      <c r="B7" s="43"/>
      <c r="C7" s="14">
        <v>43976.765324074076</v>
      </c>
      <c r="D7" s="10">
        <v>43980</v>
      </c>
      <c r="E7" s="13">
        <v>43976.765324074076</v>
      </c>
      <c r="F7" s="10" t="s">
        <v>39</v>
      </c>
      <c r="G7" s="44" t="s">
        <v>38</v>
      </c>
      <c r="H7" s="53"/>
      <c r="I7" s="44">
        <f t="shared" si="0"/>
        <v>0</v>
      </c>
      <c r="K7" s="45">
        <f t="shared" si="1"/>
        <v>0</v>
      </c>
      <c r="M7" s="44">
        <f t="shared" si="2"/>
        <v>0</v>
      </c>
      <c r="N7" s="44" t="s">
        <v>95</v>
      </c>
      <c r="O7" s="44" t="s">
        <v>96</v>
      </c>
      <c r="P7" s="44" t="s">
        <v>12</v>
      </c>
      <c r="Q7" s="44" t="s">
        <v>22</v>
      </c>
      <c r="S7" s="9"/>
      <c r="T7" s="9"/>
    </row>
    <row r="8" spans="1:20" x14ac:dyDescent="0.3">
      <c r="A8" s="42">
        <v>6</v>
      </c>
      <c r="B8" s="43"/>
      <c r="C8" s="13">
        <v>43976.792800925927</v>
      </c>
      <c r="D8" s="10">
        <v>43979</v>
      </c>
      <c r="E8" s="13">
        <v>43976.82104166667</v>
      </c>
      <c r="G8" s="44" t="s">
        <v>45</v>
      </c>
      <c r="H8" s="53"/>
      <c r="I8" s="44">
        <f t="shared" si="0"/>
        <v>0</v>
      </c>
      <c r="K8" s="45">
        <f t="shared" si="1"/>
        <v>0</v>
      </c>
      <c r="M8" s="44">
        <f t="shared" si="2"/>
        <v>0</v>
      </c>
      <c r="N8" s="44" t="s">
        <v>97</v>
      </c>
      <c r="O8" s="44" t="s">
        <v>98</v>
      </c>
      <c r="P8" s="44" t="s">
        <v>12</v>
      </c>
      <c r="Q8" s="44" t="s">
        <v>16</v>
      </c>
      <c r="S8" s="9"/>
      <c r="T8" s="9"/>
    </row>
    <row r="9" spans="1:20" x14ac:dyDescent="0.3">
      <c r="A9" s="42">
        <v>7</v>
      </c>
      <c r="B9" s="43"/>
      <c r="C9" s="13">
        <v>43979.897372685184</v>
      </c>
      <c r="D9" s="10">
        <v>43980</v>
      </c>
      <c r="E9" s="13">
        <v>43979.897372685184</v>
      </c>
      <c r="F9" s="10" t="s">
        <v>39</v>
      </c>
      <c r="G9" s="44" t="s">
        <v>38</v>
      </c>
      <c r="H9" s="53"/>
      <c r="I9" s="44">
        <f t="shared" si="0"/>
        <v>0</v>
      </c>
      <c r="K9" s="45">
        <f t="shared" si="1"/>
        <v>0</v>
      </c>
      <c r="M9" s="44">
        <f t="shared" si="2"/>
        <v>0</v>
      </c>
      <c r="N9" s="44" t="s">
        <v>99</v>
      </c>
      <c r="O9" s="44" t="s">
        <v>100</v>
      </c>
      <c r="P9" s="44" t="s">
        <v>21</v>
      </c>
      <c r="Q9" s="44" t="s">
        <v>22</v>
      </c>
      <c r="S9" s="9"/>
      <c r="T9" s="9"/>
    </row>
    <row r="10" spans="1:20" x14ac:dyDescent="0.3">
      <c r="A10" s="42">
        <v>8</v>
      </c>
      <c r="B10" s="43"/>
      <c r="C10" s="13">
        <v>43979.897546296299</v>
      </c>
      <c r="D10" s="10">
        <v>43981.897372685184</v>
      </c>
      <c r="E10" s="13">
        <v>43979.897546296299</v>
      </c>
      <c r="F10" s="10" t="s">
        <v>39</v>
      </c>
      <c r="G10" s="44" t="s">
        <v>38</v>
      </c>
      <c r="H10" s="53"/>
      <c r="I10" s="44">
        <f t="shared" si="0"/>
        <v>0</v>
      </c>
      <c r="K10" s="45">
        <f t="shared" si="1"/>
        <v>0</v>
      </c>
      <c r="M10" s="44">
        <f t="shared" si="2"/>
        <v>0</v>
      </c>
      <c r="N10" s="44" t="s">
        <v>101</v>
      </c>
      <c r="O10" s="44" t="s">
        <v>46</v>
      </c>
      <c r="P10" s="44" t="s">
        <v>11</v>
      </c>
      <c r="Q10" s="44" t="s">
        <v>20</v>
      </c>
      <c r="S10" s="9"/>
      <c r="T10" s="9"/>
    </row>
    <row r="11" spans="1:20" x14ac:dyDescent="0.3">
      <c r="A11" s="42">
        <v>9</v>
      </c>
      <c r="B11" s="43" t="s">
        <v>142</v>
      </c>
      <c r="C11" s="13">
        <v>43979.898148148146</v>
      </c>
      <c r="D11" s="10">
        <v>43981</v>
      </c>
      <c r="E11" s="13">
        <v>43979.898148148146</v>
      </c>
      <c r="F11" s="10" t="s">
        <v>39</v>
      </c>
      <c r="G11" s="44" t="s">
        <v>38</v>
      </c>
      <c r="H11" s="53"/>
      <c r="I11" s="44">
        <f t="shared" si="0"/>
        <v>0</v>
      </c>
      <c r="K11" s="45">
        <f t="shared" si="1"/>
        <v>0</v>
      </c>
      <c r="M11" s="44">
        <f t="shared" si="2"/>
        <v>0</v>
      </c>
      <c r="N11" s="44" t="s">
        <v>102</v>
      </c>
      <c r="O11" s="44" t="s">
        <v>103</v>
      </c>
      <c r="P11" s="44" t="s">
        <v>12</v>
      </c>
      <c r="Q11" s="44" t="s">
        <v>22</v>
      </c>
      <c r="S11" s="9"/>
      <c r="T11" s="9"/>
    </row>
    <row r="12" spans="1:20" x14ac:dyDescent="0.3">
      <c r="A12" s="47">
        <v>10</v>
      </c>
      <c r="B12" s="48"/>
      <c r="C12" s="17">
        <v>43979.898379629631</v>
      </c>
      <c r="D12" s="18">
        <v>43981</v>
      </c>
      <c r="E12" s="19">
        <v>43979.898379629631</v>
      </c>
      <c r="F12" s="18" t="s">
        <v>39</v>
      </c>
      <c r="G12" s="48" t="s">
        <v>38</v>
      </c>
      <c r="H12" s="30"/>
      <c r="I12" s="49">
        <f t="shared" si="0"/>
        <v>0</v>
      </c>
      <c r="J12" s="30"/>
      <c r="K12" s="49">
        <f t="shared" si="1"/>
        <v>0</v>
      </c>
      <c r="L12" s="30"/>
      <c r="M12" s="49">
        <f t="shared" si="2"/>
        <v>0</v>
      </c>
      <c r="N12" s="49" t="s">
        <v>104</v>
      </c>
      <c r="O12" s="49" t="s">
        <v>105</v>
      </c>
      <c r="P12" s="49" t="s">
        <v>11</v>
      </c>
      <c r="Q12" s="49" t="s">
        <v>22</v>
      </c>
      <c r="S12" s="9"/>
      <c r="T12" s="9"/>
    </row>
    <row r="13" spans="1:20" x14ac:dyDescent="0.3">
      <c r="A13" s="42">
        <v>11</v>
      </c>
      <c r="B13" s="50"/>
      <c r="C13" s="14">
        <v>43979.898645833331</v>
      </c>
      <c r="D13" s="10">
        <v>43982.898379629631</v>
      </c>
      <c r="E13" s="13">
        <v>43979.907280092593</v>
      </c>
      <c r="F13" s="64" t="s">
        <v>39</v>
      </c>
      <c r="G13" s="44" t="s">
        <v>45</v>
      </c>
      <c r="H13" s="53"/>
      <c r="I13" s="44">
        <f t="shared" si="0"/>
        <v>0</v>
      </c>
      <c r="K13" s="45">
        <f t="shared" si="1"/>
        <v>0</v>
      </c>
      <c r="M13" s="44">
        <f t="shared" si="2"/>
        <v>0</v>
      </c>
      <c r="N13" s="44" t="s">
        <v>106</v>
      </c>
      <c r="O13" s="44" t="s">
        <v>107</v>
      </c>
      <c r="P13" s="44" t="s">
        <v>21</v>
      </c>
      <c r="Q13" s="44" t="s">
        <v>22</v>
      </c>
      <c r="S13" s="9"/>
      <c r="T13" s="9"/>
    </row>
    <row r="14" spans="1:20" x14ac:dyDescent="0.3">
      <c r="A14" s="51">
        <v>12</v>
      </c>
      <c r="B14" s="43"/>
      <c r="C14" s="14">
        <v>43980.500462962962</v>
      </c>
      <c r="D14" s="10">
        <v>43983</v>
      </c>
      <c r="E14" s="13">
        <v>43980.500752314816</v>
      </c>
      <c r="F14" s="64" t="s">
        <v>39</v>
      </c>
      <c r="G14" s="44" t="s">
        <v>38</v>
      </c>
      <c r="H14" s="53"/>
      <c r="I14" s="44">
        <f t="shared" si="0"/>
        <v>0</v>
      </c>
      <c r="K14" s="45">
        <f t="shared" si="1"/>
        <v>0</v>
      </c>
      <c r="M14" s="44">
        <f t="shared" si="2"/>
        <v>0</v>
      </c>
      <c r="N14" s="44" t="s">
        <v>108</v>
      </c>
      <c r="O14" s="44" t="s">
        <v>109</v>
      </c>
      <c r="P14" s="44" t="s">
        <v>12</v>
      </c>
      <c r="Q14" s="44" t="s">
        <v>20</v>
      </c>
      <c r="S14" s="9"/>
      <c r="T14" s="9"/>
    </row>
    <row r="15" spans="1:20" x14ac:dyDescent="0.3">
      <c r="A15" s="42">
        <v>13</v>
      </c>
      <c r="B15" s="43" t="s">
        <v>143</v>
      </c>
      <c r="C15" s="14">
        <v>43980.570798611108</v>
      </c>
      <c r="D15" s="10" t="s">
        <v>110</v>
      </c>
      <c r="E15" s="13">
        <v>43980.570798611108</v>
      </c>
      <c r="F15" s="10" t="s">
        <v>39</v>
      </c>
      <c r="G15" s="44" t="s">
        <v>38</v>
      </c>
      <c r="H15" s="53"/>
      <c r="I15" s="44">
        <f t="shared" si="0"/>
        <v>0</v>
      </c>
      <c r="J15" s="29" t="s">
        <v>40</v>
      </c>
      <c r="K15" s="45">
        <f t="shared" si="1"/>
        <v>4</v>
      </c>
      <c r="M15" s="44">
        <f t="shared" si="2"/>
        <v>0</v>
      </c>
      <c r="N15" s="44" t="s">
        <v>111</v>
      </c>
      <c r="O15" s="44" t="s">
        <v>40</v>
      </c>
      <c r="P15" s="44" t="s">
        <v>14</v>
      </c>
      <c r="Q15" s="44" t="s">
        <v>17</v>
      </c>
    </row>
    <row r="16" spans="1:20" x14ac:dyDescent="0.3">
      <c r="A16" s="42">
        <v>14</v>
      </c>
      <c r="B16" s="43"/>
      <c r="C16" s="14">
        <v>43980.932557870372</v>
      </c>
      <c r="D16" s="10" t="s">
        <v>57</v>
      </c>
      <c r="E16" s="13">
        <v>43981.693622685183</v>
      </c>
      <c r="F16" s="10" t="s">
        <v>59</v>
      </c>
      <c r="G16" s="44" t="s">
        <v>38</v>
      </c>
      <c r="H16" s="53" t="s">
        <v>25</v>
      </c>
      <c r="I16" s="44">
        <f t="shared" si="0"/>
        <v>4</v>
      </c>
      <c r="J16" s="29" t="s">
        <v>60</v>
      </c>
      <c r="K16" s="45">
        <f t="shared" si="1"/>
        <v>11</v>
      </c>
      <c r="M16" s="44">
        <f t="shared" si="2"/>
        <v>0</v>
      </c>
      <c r="N16" s="44" t="s">
        <v>58</v>
      </c>
      <c r="O16" s="44" t="s">
        <v>56</v>
      </c>
      <c r="P16" s="44" t="s">
        <v>21</v>
      </c>
      <c r="Q16" s="44" t="s">
        <v>17</v>
      </c>
      <c r="S16" s="9"/>
      <c r="T16" s="9"/>
    </row>
    <row r="17" spans="1:17" x14ac:dyDescent="0.3">
      <c r="A17" s="12">
        <v>15</v>
      </c>
      <c r="B17" s="8"/>
      <c r="C17" s="36">
        <v>43981.681331018517</v>
      </c>
      <c r="D17" s="37" t="s">
        <v>57</v>
      </c>
      <c r="E17" s="38">
        <v>43981.719571759262</v>
      </c>
      <c r="F17" s="37" t="s">
        <v>115</v>
      </c>
      <c r="G17" s="39" t="s">
        <v>45</v>
      </c>
      <c r="H17" s="53" t="s">
        <v>1</v>
      </c>
      <c r="I17" s="39"/>
      <c r="J17" s="40" t="s">
        <v>113</v>
      </c>
      <c r="K17" s="41">
        <f t="shared" ref="K17:K36" si="3">LEN(J17)</f>
        <v>14</v>
      </c>
      <c r="L17" s="40" t="s">
        <v>28</v>
      </c>
      <c r="M17" s="39">
        <f t="shared" ref="M17:M32" si="4">LEN(L17)</f>
        <v>3</v>
      </c>
      <c r="N17" s="39" t="s">
        <v>114</v>
      </c>
      <c r="O17" s="39" t="s">
        <v>112</v>
      </c>
      <c r="P17" s="39" t="s">
        <v>15</v>
      </c>
      <c r="Q17" s="39" t="s">
        <v>17</v>
      </c>
    </row>
    <row r="18" spans="1:17" x14ac:dyDescent="0.3">
      <c r="A18" s="12">
        <v>16</v>
      </c>
      <c r="B18" s="8"/>
      <c r="C18" s="14">
        <v>43981.695474537039</v>
      </c>
      <c r="D18" s="10" t="s">
        <v>57</v>
      </c>
      <c r="E18" s="13">
        <v>43981.703240740739</v>
      </c>
      <c r="F18" s="10" t="s">
        <v>115</v>
      </c>
      <c r="G18" s="9" t="s">
        <v>116</v>
      </c>
      <c r="H18" s="53" t="s">
        <v>1</v>
      </c>
      <c r="I18" s="9"/>
      <c r="J18" s="29" t="s">
        <v>119</v>
      </c>
      <c r="K18" s="11">
        <f t="shared" si="3"/>
        <v>28</v>
      </c>
      <c r="L18" s="29" t="s">
        <v>29</v>
      </c>
      <c r="M18" s="9">
        <f t="shared" si="4"/>
        <v>3</v>
      </c>
      <c r="N18" s="9" t="s">
        <v>118</v>
      </c>
      <c r="O18" s="9" t="s">
        <v>117</v>
      </c>
      <c r="P18" s="9" t="s">
        <v>14</v>
      </c>
      <c r="Q18" s="9" t="s">
        <v>19</v>
      </c>
    </row>
    <row r="19" spans="1:17" x14ac:dyDescent="0.3">
      <c r="A19" s="12">
        <v>17</v>
      </c>
      <c r="B19" s="8"/>
      <c r="C19" s="14">
        <v>43983.767604166664</v>
      </c>
      <c r="D19" s="10" t="s">
        <v>57</v>
      </c>
      <c r="E19" s="13">
        <v>43983.774652777778</v>
      </c>
      <c r="F19" s="10" t="s">
        <v>39</v>
      </c>
      <c r="G19" s="9" t="s">
        <v>38</v>
      </c>
      <c r="H19" s="53" t="s">
        <v>1</v>
      </c>
      <c r="I19" s="9"/>
      <c r="J19" s="29" t="s">
        <v>127</v>
      </c>
      <c r="K19" s="11">
        <f t="shared" si="3"/>
        <v>6</v>
      </c>
      <c r="L19" s="29" t="s">
        <v>30</v>
      </c>
      <c r="M19" s="9">
        <f t="shared" si="4"/>
        <v>3</v>
      </c>
      <c r="N19" s="39" t="s">
        <v>122</v>
      </c>
      <c r="O19" s="9" t="s">
        <v>121</v>
      </c>
      <c r="P19" s="9" t="s">
        <v>15</v>
      </c>
      <c r="Q19" s="9" t="s">
        <v>18</v>
      </c>
    </row>
    <row r="20" spans="1:17" x14ac:dyDescent="0.3">
      <c r="A20" s="12">
        <v>18</v>
      </c>
      <c r="B20" s="8" t="s">
        <v>146</v>
      </c>
      <c r="C20" s="14">
        <v>43983.767789351848</v>
      </c>
      <c r="D20" s="10" t="s">
        <v>124</v>
      </c>
      <c r="E20" s="13">
        <v>43983.774548611109</v>
      </c>
      <c r="F20" s="10" t="s">
        <v>39</v>
      </c>
      <c r="G20" s="9" t="s">
        <v>38</v>
      </c>
      <c r="H20" s="53" t="s">
        <v>1</v>
      </c>
      <c r="I20" s="9"/>
      <c r="J20" s="29" t="s">
        <v>126</v>
      </c>
      <c r="K20" s="11">
        <f t="shared" si="3"/>
        <v>6</v>
      </c>
      <c r="M20" s="9">
        <f t="shared" si="4"/>
        <v>0</v>
      </c>
      <c r="N20" s="9" t="s">
        <v>125</v>
      </c>
      <c r="O20" s="9" t="s">
        <v>123</v>
      </c>
      <c r="P20" s="9" t="s">
        <v>14</v>
      </c>
      <c r="Q20" s="9" t="s">
        <v>17</v>
      </c>
    </row>
    <row r="21" spans="1:17" x14ac:dyDescent="0.3">
      <c r="A21" s="12">
        <v>19</v>
      </c>
      <c r="B21" s="8" t="s">
        <v>145</v>
      </c>
      <c r="C21" s="14">
        <v>43983.815138888887</v>
      </c>
      <c r="D21" s="10" t="s">
        <v>57</v>
      </c>
      <c r="E21" s="13">
        <v>43983.819212962961</v>
      </c>
      <c r="F21" s="10" t="s">
        <v>39</v>
      </c>
      <c r="G21" s="9" t="s">
        <v>38</v>
      </c>
      <c r="H21" s="53" t="s">
        <v>1</v>
      </c>
      <c r="I21" s="9"/>
      <c r="J21" s="29" t="s">
        <v>129</v>
      </c>
      <c r="K21" s="11">
        <f t="shared" si="3"/>
        <v>5</v>
      </c>
      <c r="M21" s="9">
        <f t="shared" si="4"/>
        <v>0</v>
      </c>
      <c r="N21" s="9" t="s">
        <v>40</v>
      </c>
      <c r="O21" s="9" t="s">
        <v>128</v>
      </c>
      <c r="P21" s="9" t="s">
        <v>14</v>
      </c>
      <c r="Q21" s="9" t="s">
        <v>19</v>
      </c>
    </row>
    <row r="22" spans="1:17" x14ac:dyDescent="0.3">
      <c r="A22" s="15">
        <v>20</v>
      </c>
      <c r="B22" s="16"/>
      <c r="C22" s="22">
        <v>43983.815416666665</v>
      </c>
      <c r="D22" s="23" t="s">
        <v>57</v>
      </c>
      <c r="E22" s="24">
        <v>43983.820115740738</v>
      </c>
      <c r="F22" s="23" t="s">
        <v>115</v>
      </c>
      <c r="G22" s="15" t="s">
        <v>116</v>
      </c>
      <c r="H22" s="30" t="s">
        <v>85</v>
      </c>
      <c r="I22" s="20"/>
      <c r="J22" s="25" t="s">
        <v>131</v>
      </c>
      <c r="K22" s="15">
        <f t="shared" si="3"/>
        <v>11</v>
      </c>
      <c r="L22" s="25"/>
      <c r="M22" s="20">
        <f t="shared" si="4"/>
        <v>0</v>
      </c>
      <c r="N22" s="20" t="s">
        <v>132</v>
      </c>
      <c r="O22" s="20" t="s">
        <v>130</v>
      </c>
      <c r="P22" s="15" t="s">
        <v>14</v>
      </c>
      <c r="Q22" s="15" t="s">
        <v>19</v>
      </c>
    </row>
    <row r="23" spans="1:17" x14ac:dyDescent="0.3">
      <c r="A23" s="12">
        <v>21</v>
      </c>
      <c r="B23" s="8"/>
      <c r="C23" s="14">
        <v>43983.864050925928</v>
      </c>
      <c r="D23" s="10" t="s">
        <v>134</v>
      </c>
      <c r="E23" s="13">
        <v>43983.864050925928</v>
      </c>
      <c r="F23" s="10" t="s">
        <v>39</v>
      </c>
      <c r="G23" s="9" t="s">
        <v>38</v>
      </c>
      <c r="H23" s="53" t="s">
        <v>86</v>
      </c>
      <c r="I23" s="9"/>
      <c r="J23" s="29" t="s">
        <v>135</v>
      </c>
      <c r="K23" s="11">
        <f t="shared" si="3"/>
        <v>22</v>
      </c>
      <c r="M23" s="9">
        <f t="shared" si="4"/>
        <v>0</v>
      </c>
      <c r="N23" s="9" t="s">
        <v>136</v>
      </c>
      <c r="O23" s="9" t="s">
        <v>133</v>
      </c>
      <c r="P23" s="9" t="s">
        <v>11</v>
      </c>
      <c r="Q23" s="9" t="s">
        <v>20</v>
      </c>
    </row>
    <row r="24" spans="1:17" x14ac:dyDescent="0.3">
      <c r="A24" s="12">
        <v>22</v>
      </c>
      <c r="B24" s="8" t="s">
        <v>144</v>
      </c>
      <c r="C24" s="14">
        <v>43983.88040509259</v>
      </c>
      <c r="D24" s="10" t="s">
        <v>57</v>
      </c>
      <c r="E24" s="13">
        <v>43986.971226851849</v>
      </c>
      <c r="F24" s="10" t="s">
        <v>39</v>
      </c>
      <c r="G24" s="9" t="s">
        <v>45</v>
      </c>
      <c r="H24" s="53" t="s">
        <v>1</v>
      </c>
      <c r="I24" s="9">
        <f t="shared" ref="I24:I36" si="5">LEN(H24)</f>
        <v>8</v>
      </c>
      <c r="J24" s="29" t="s">
        <v>148</v>
      </c>
      <c r="K24" s="11">
        <f t="shared" si="3"/>
        <v>31</v>
      </c>
      <c r="M24" s="9">
        <f t="shared" si="4"/>
        <v>0</v>
      </c>
      <c r="N24" s="9" t="s">
        <v>149</v>
      </c>
      <c r="O24" s="9" t="s">
        <v>147</v>
      </c>
      <c r="P24" s="9" t="s">
        <v>21</v>
      </c>
      <c r="Q24" s="9" t="s">
        <v>22</v>
      </c>
    </row>
    <row r="25" spans="1:17" x14ac:dyDescent="0.3">
      <c r="A25" s="12"/>
      <c r="B25" s="8"/>
      <c r="C25" s="14"/>
      <c r="E25" s="13"/>
      <c r="H25" s="53"/>
      <c r="I25" s="9">
        <f t="shared" si="5"/>
        <v>0</v>
      </c>
      <c r="K25" s="11">
        <f t="shared" si="3"/>
        <v>0</v>
      </c>
      <c r="M25" s="9">
        <f t="shared" si="4"/>
        <v>0</v>
      </c>
    </row>
    <row r="26" spans="1:17" x14ac:dyDescent="0.3">
      <c r="A26" s="12"/>
      <c r="B26" s="8"/>
      <c r="C26" s="14"/>
      <c r="E26" s="13"/>
      <c r="H26" s="53"/>
      <c r="I26" s="9">
        <f t="shared" si="5"/>
        <v>0</v>
      </c>
      <c r="K26" s="11">
        <f t="shared" si="3"/>
        <v>0</v>
      </c>
      <c r="M26" s="9">
        <f t="shared" si="4"/>
        <v>0</v>
      </c>
    </row>
    <row r="27" spans="1:17" ht="19.5" customHeight="1" x14ac:dyDescent="0.3">
      <c r="A27" s="12"/>
      <c r="B27" s="8"/>
      <c r="C27" s="14"/>
      <c r="E27" s="13"/>
      <c r="H27" s="53"/>
      <c r="I27" s="9">
        <f t="shared" si="5"/>
        <v>0</v>
      </c>
      <c r="K27" s="11">
        <f t="shared" si="3"/>
        <v>0</v>
      </c>
      <c r="M27" s="9">
        <f t="shared" si="4"/>
        <v>0</v>
      </c>
    </row>
    <row r="28" spans="1:17" x14ac:dyDescent="0.3">
      <c r="A28" s="12"/>
      <c r="B28" s="8"/>
      <c r="C28" s="14"/>
      <c r="E28" s="13"/>
      <c r="H28" s="53"/>
      <c r="I28" s="9">
        <f t="shared" si="5"/>
        <v>0</v>
      </c>
      <c r="K28" s="11">
        <f t="shared" si="3"/>
        <v>0</v>
      </c>
      <c r="M28" s="9">
        <f t="shared" si="4"/>
        <v>0</v>
      </c>
    </row>
    <row r="29" spans="1:17" x14ac:dyDescent="0.3">
      <c r="A29" s="12"/>
      <c r="B29" s="8"/>
      <c r="C29" s="14"/>
      <c r="E29" s="13"/>
      <c r="H29" s="53"/>
      <c r="I29" s="9">
        <f t="shared" si="5"/>
        <v>0</v>
      </c>
      <c r="K29" s="11">
        <f t="shared" si="3"/>
        <v>0</v>
      </c>
      <c r="M29" s="9">
        <f t="shared" si="4"/>
        <v>0</v>
      </c>
    </row>
    <row r="30" spans="1:17" x14ac:dyDescent="0.3">
      <c r="A30" s="12"/>
      <c r="B30" s="8"/>
      <c r="C30" s="14"/>
      <c r="E30" s="13"/>
      <c r="H30" s="53"/>
      <c r="I30" s="9">
        <f t="shared" si="5"/>
        <v>0</v>
      </c>
      <c r="K30" s="11">
        <f t="shared" si="3"/>
        <v>0</v>
      </c>
      <c r="M30" s="9">
        <f t="shared" si="4"/>
        <v>0</v>
      </c>
    </row>
    <row r="31" spans="1:17" x14ac:dyDescent="0.3">
      <c r="A31" s="12"/>
      <c r="B31" s="8"/>
      <c r="C31" s="14"/>
      <c r="E31" s="13"/>
      <c r="H31" s="53"/>
      <c r="I31" s="9">
        <f t="shared" si="5"/>
        <v>0</v>
      </c>
      <c r="K31" s="11">
        <f t="shared" si="3"/>
        <v>0</v>
      </c>
      <c r="M31" s="9">
        <f t="shared" si="4"/>
        <v>0</v>
      </c>
    </row>
    <row r="32" spans="1:17" x14ac:dyDescent="0.3">
      <c r="A32" s="15"/>
      <c r="B32" s="16"/>
      <c r="C32" s="22"/>
      <c r="D32" s="23"/>
      <c r="E32" s="24"/>
      <c r="F32" s="23"/>
      <c r="G32" s="15"/>
      <c r="H32" s="30"/>
      <c r="I32" s="30">
        <f t="shared" si="5"/>
        <v>0</v>
      </c>
      <c r="J32" s="30"/>
      <c r="K32" s="20">
        <f t="shared" si="3"/>
        <v>0</v>
      </c>
      <c r="L32" s="30"/>
      <c r="M32" s="20">
        <f t="shared" si="4"/>
        <v>0</v>
      </c>
      <c r="N32" s="20"/>
      <c r="O32" s="20"/>
      <c r="P32" s="16"/>
      <c r="Q32" s="16"/>
    </row>
    <row r="33" spans="1:17" x14ac:dyDescent="0.3">
      <c r="A33" s="12"/>
      <c r="B33" s="8"/>
      <c r="C33" s="14"/>
      <c r="E33" s="13"/>
      <c r="H33" s="53"/>
      <c r="I33" s="9">
        <f t="shared" si="5"/>
        <v>0</v>
      </c>
      <c r="K33" s="11">
        <f t="shared" si="3"/>
        <v>0</v>
      </c>
      <c r="M33" s="9"/>
    </row>
    <row r="34" spans="1:17" x14ac:dyDescent="0.3">
      <c r="A34" s="12"/>
      <c r="B34" s="8"/>
      <c r="C34" s="14"/>
      <c r="E34" s="13"/>
      <c r="H34" s="53"/>
      <c r="I34" s="9">
        <f t="shared" si="5"/>
        <v>0</v>
      </c>
      <c r="K34" s="11">
        <f t="shared" si="3"/>
        <v>0</v>
      </c>
      <c r="M34" s="9"/>
    </row>
    <row r="35" spans="1:17" x14ac:dyDescent="0.3">
      <c r="A35" s="12"/>
      <c r="B35" s="8"/>
      <c r="C35" s="14"/>
      <c r="E35" s="13"/>
      <c r="H35" s="53"/>
      <c r="I35" s="9">
        <f t="shared" si="5"/>
        <v>0</v>
      </c>
      <c r="K35" s="11">
        <f t="shared" si="3"/>
        <v>0</v>
      </c>
      <c r="M35" s="9"/>
    </row>
    <row r="36" spans="1:17" x14ac:dyDescent="0.3">
      <c r="A36" s="12"/>
      <c r="B36" s="8"/>
      <c r="C36" s="14"/>
      <c r="E36" s="13"/>
      <c r="H36" s="53"/>
      <c r="I36" s="9">
        <f t="shared" si="5"/>
        <v>0</v>
      </c>
      <c r="K36" s="11">
        <f t="shared" si="3"/>
        <v>0</v>
      </c>
      <c r="M36" s="9"/>
    </row>
    <row r="37" spans="1:17" x14ac:dyDescent="0.3">
      <c r="A37" s="12"/>
      <c r="B37" s="8"/>
      <c r="C37" s="14"/>
      <c r="E37" s="13"/>
      <c r="H37" s="53"/>
      <c r="I37" s="9"/>
      <c r="K37" s="11">
        <f t="shared" ref="K37:K52" si="6">LEN(J37)</f>
        <v>0</v>
      </c>
      <c r="M37" s="9"/>
    </row>
    <row r="38" spans="1:17" x14ac:dyDescent="0.3">
      <c r="A38" s="12"/>
      <c r="B38" s="8"/>
      <c r="C38" s="14"/>
      <c r="E38" s="13"/>
      <c r="H38" s="53"/>
      <c r="I38" s="9"/>
      <c r="K38" s="11">
        <f t="shared" si="6"/>
        <v>0</v>
      </c>
      <c r="M38" s="9"/>
    </row>
    <row r="39" spans="1:17" x14ac:dyDescent="0.3">
      <c r="A39" s="12"/>
      <c r="B39" s="8"/>
      <c r="C39" s="14"/>
      <c r="E39" s="13"/>
      <c r="H39" s="53"/>
      <c r="I39" s="9"/>
      <c r="K39" s="11">
        <f t="shared" si="6"/>
        <v>0</v>
      </c>
      <c r="M39" s="9"/>
    </row>
    <row r="40" spans="1:17" x14ac:dyDescent="0.3">
      <c r="A40" s="12"/>
      <c r="B40" s="8"/>
      <c r="C40" s="14"/>
      <c r="E40" s="13"/>
      <c r="H40" s="53"/>
      <c r="I40" s="9"/>
      <c r="K40" s="11">
        <f t="shared" si="6"/>
        <v>0</v>
      </c>
      <c r="M40" s="9"/>
    </row>
    <row r="41" spans="1:17" x14ac:dyDescent="0.3">
      <c r="A41" s="12"/>
      <c r="B41" s="8"/>
      <c r="C41" s="14"/>
      <c r="E41" s="13"/>
      <c r="H41" s="53"/>
      <c r="I41" s="9"/>
      <c r="K41" s="11">
        <f t="shared" si="6"/>
        <v>0</v>
      </c>
      <c r="M41" s="9"/>
    </row>
    <row r="42" spans="1:17" x14ac:dyDescent="0.3">
      <c r="A42" s="15"/>
      <c r="B42" s="15"/>
      <c r="C42" s="22"/>
      <c r="D42" s="23"/>
      <c r="E42" s="24"/>
      <c r="F42" s="23"/>
      <c r="G42" s="15"/>
      <c r="H42" s="30"/>
      <c r="I42" s="20"/>
      <c r="J42" s="25"/>
      <c r="K42" s="20">
        <f t="shared" si="6"/>
        <v>0</v>
      </c>
      <c r="L42" s="25"/>
      <c r="M42" s="20"/>
      <c r="N42" s="20"/>
      <c r="O42" s="20"/>
      <c r="P42" s="15"/>
      <c r="Q42" s="15"/>
    </row>
    <row r="43" spans="1:17" x14ac:dyDescent="0.3">
      <c r="A43" s="12"/>
      <c r="B43" s="8"/>
      <c r="C43" s="14"/>
      <c r="E43" s="13"/>
      <c r="H43" s="53"/>
      <c r="I43" s="9"/>
      <c r="K43" s="9">
        <f t="shared" si="6"/>
        <v>0</v>
      </c>
      <c r="M43" s="9"/>
    </row>
    <row r="44" spans="1:17" x14ac:dyDescent="0.3">
      <c r="A44" s="12"/>
      <c r="B44" s="8"/>
      <c r="C44" s="14"/>
      <c r="E44" s="13"/>
      <c r="H44" s="53"/>
      <c r="I44" s="9"/>
      <c r="K44" s="11">
        <f t="shared" si="6"/>
        <v>0</v>
      </c>
      <c r="M44" s="9"/>
    </row>
    <row r="45" spans="1:17" x14ac:dyDescent="0.3">
      <c r="A45" s="12"/>
      <c r="B45" s="8"/>
      <c r="C45" s="14"/>
      <c r="E45" s="13"/>
      <c r="H45" s="53"/>
      <c r="I45" s="9"/>
      <c r="K45" s="11">
        <f t="shared" si="6"/>
        <v>0</v>
      </c>
      <c r="M45" s="9"/>
    </row>
    <row r="46" spans="1:17" x14ac:dyDescent="0.3">
      <c r="A46" s="12"/>
      <c r="B46" s="8"/>
      <c r="C46" s="14"/>
      <c r="E46" s="13"/>
      <c r="H46" s="53"/>
      <c r="I46" s="9"/>
      <c r="K46" s="11">
        <f t="shared" si="6"/>
        <v>0</v>
      </c>
      <c r="M46" s="9"/>
    </row>
    <row r="47" spans="1:17" x14ac:dyDescent="0.3">
      <c r="A47" s="12"/>
      <c r="B47" s="8"/>
      <c r="C47" s="14"/>
      <c r="E47" s="13"/>
      <c r="H47" s="53"/>
      <c r="I47" s="9"/>
      <c r="K47" s="11">
        <f t="shared" si="6"/>
        <v>0</v>
      </c>
      <c r="M47" s="9"/>
    </row>
    <row r="48" spans="1:17" x14ac:dyDescent="0.3">
      <c r="A48" s="12"/>
      <c r="B48" s="8"/>
      <c r="C48" s="14"/>
      <c r="E48" s="13"/>
      <c r="H48" s="53"/>
      <c r="I48" s="9"/>
      <c r="K48" s="11">
        <f t="shared" si="6"/>
        <v>0</v>
      </c>
      <c r="M48" s="9"/>
    </row>
    <row r="49" spans="1:17" x14ac:dyDescent="0.3">
      <c r="A49" s="12"/>
      <c r="B49" s="8"/>
      <c r="C49" s="14"/>
      <c r="E49" s="13"/>
      <c r="H49" s="53"/>
      <c r="I49" s="9"/>
      <c r="K49" s="11">
        <f t="shared" si="6"/>
        <v>0</v>
      </c>
      <c r="M49" s="9"/>
    </row>
    <row r="50" spans="1:17" x14ac:dyDescent="0.3">
      <c r="A50" s="12"/>
      <c r="B50" s="8"/>
      <c r="C50" s="14"/>
      <c r="E50" s="13"/>
      <c r="H50" s="53"/>
      <c r="I50" s="9"/>
      <c r="K50" s="11">
        <f t="shared" si="6"/>
        <v>0</v>
      </c>
      <c r="M50" s="9"/>
    </row>
    <row r="51" spans="1:17" x14ac:dyDescent="0.3">
      <c r="A51" s="12"/>
      <c r="B51" s="8"/>
      <c r="C51" s="14"/>
      <c r="E51" s="13"/>
      <c r="H51" s="53"/>
      <c r="I51" s="9"/>
      <c r="K51" s="11">
        <f t="shared" si="6"/>
        <v>0</v>
      </c>
      <c r="M51" s="9"/>
    </row>
    <row r="52" spans="1:17" x14ac:dyDescent="0.3">
      <c r="A52" s="15"/>
      <c r="B52" s="15"/>
      <c r="C52" s="22"/>
      <c r="D52" s="23"/>
      <c r="E52" s="24"/>
      <c r="F52" s="23"/>
      <c r="G52" s="15"/>
      <c r="H52" s="30"/>
      <c r="I52" s="20"/>
      <c r="J52" s="30"/>
      <c r="K52" s="20">
        <f t="shared" si="6"/>
        <v>0</v>
      </c>
      <c r="L52" s="30"/>
      <c r="M52" s="20"/>
      <c r="N52" s="20"/>
      <c r="O52" s="20"/>
      <c r="P52" s="16"/>
      <c r="Q52" s="16"/>
    </row>
    <row r="53" spans="1:17" x14ac:dyDescent="0.3">
      <c r="A53" s="12"/>
    </row>
    <row r="54" spans="1:17" x14ac:dyDescent="0.3">
      <c r="A54" s="12"/>
    </row>
    <row r="55" spans="1:17" x14ac:dyDescent="0.3">
      <c r="A55" s="12"/>
    </row>
    <row r="56" spans="1:17" x14ac:dyDescent="0.3">
      <c r="A56" s="12"/>
    </row>
    <row r="57" spans="1:17" x14ac:dyDescent="0.3">
      <c r="A57" s="12"/>
    </row>
    <row r="58" spans="1:17" x14ac:dyDescent="0.3">
      <c r="A58" s="12"/>
    </row>
    <row r="59" spans="1:17" x14ac:dyDescent="0.3">
      <c r="A59" s="12"/>
    </row>
    <row r="60" spans="1:17" x14ac:dyDescent="0.3">
      <c r="A60" s="12"/>
    </row>
    <row r="61" spans="1:17" x14ac:dyDescent="0.3">
      <c r="A61" s="12"/>
    </row>
    <row r="62" spans="1:17" x14ac:dyDescent="0.3">
      <c r="A62" s="12"/>
    </row>
    <row r="63" spans="1:17" x14ac:dyDescent="0.3">
      <c r="A63" s="12"/>
    </row>
    <row r="64" spans="1:17" x14ac:dyDescent="0.3">
      <c r="A64" s="12"/>
    </row>
    <row r="65" spans="1:1" x14ac:dyDescent="0.3">
      <c r="A65" s="12"/>
    </row>
    <row r="66" spans="1:1" x14ac:dyDescent="0.3">
      <c r="A66" s="12"/>
    </row>
    <row r="67" spans="1:1" x14ac:dyDescent="0.3">
      <c r="A67" s="12"/>
    </row>
    <row r="68" spans="1:1" x14ac:dyDescent="0.3">
      <c r="A68" s="12"/>
    </row>
    <row r="69" spans="1:1" x14ac:dyDescent="0.3">
      <c r="A69" s="12"/>
    </row>
    <row r="70" spans="1:1" x14ac:dyDescent="0.3">
      <c r="A70" s="12"/>
    </row>
    <row r="71" spans="1:1" x14ac:dyDescent="0.3">
      <c r="A71" s="12"/>
    </row>
    <row r="72" spans="1:1" x14ac:dyDescent="0.3">
      <c r="A72" s="12"/>
    </row>
    <row r="73" spans="1:1" x14ac:dyDescent="0.3">
      <c r="A73" s="12"/>
    </row>
    <row r="74" spans="1:1" x14ac:dyDescent="0.3">
      <c r="A74" s="12"/>
    </row>
    <row r="75" spans="1:1" x14ac:dyDescent="0.3">
      <c r="A75" s="12"/>
    </row>
    <row r="76" spans="1:1" x14ac:dyDescent="0.3">
      <c r="A76" s="12"/>
    </row>
    <row r="77" spans="1:1" x14ac:dyDescent="0.3">
      <c r="A77" s="12"/>
    </row>
    <row r="78" spans="1:1" x14ac:dyDescent="0.3">
      <c r="A78" s="12"/>
    </row>
    <row r="79" spans="1:1" x14ac:dyDescent="0.3">
      <c r="A79" s="12"/>
    </row>
    <row r="80" spans="1:1" x14ac:dyDescent="0.3">
      <c r="A80" s="12"/>
    </row>
    <row r="81" spans="1:1" x14ac:dyDescent="0.3">
      <c r="A81" s="12"/>
    </row>
    <row r="82" spans="1:1" x14ac:dyDescent="0.3">
      <c r="A82" s="12"/>
    </row>
    <row r="83" spans="1:1" x14ac:dyDescent="0.3">
      <c r="A83" s="12"/>
    </row>
    <row r="84" spans="1:1" x14ac:dyDescent="0.3">
      <c r="A84" s="12"/>
    </row>
    <row r="85" spans="1:1" x14ac:dyDescent="0.3">
      <c r="A85" s="12"/>
    </row>
    <row r="86" spans="1:1" x14ac:dyDescent="0.3">
      <c r="A86" s="12"/>
    </row>
    <row r="87" spans="1:1" x14ac:dyDescent="0.3">
      <c r="A87" s="12"/>
    </row>
    <row r="88" spans="1:1" x14ac:dyDescent="0.3">
      <c r="A88" s="12"/>
    </row>
    <row r="89" spans="1:1" x14ac:dyDescent="0.3">
      <c r="A89" s="12"/>
    </row>
    <row r="90" spans="1:1" x14ac:dyDescent="0.3">
      <c r="A90" s="12"/>
    </row>
    <row r="91" spans="1:1" x14ac:dyDescent="0.3">
      <c r="A91" s="12"/>
    </row>
    <row r="92" spans="1:1" x14ac:dyDescent="0.3">
      <c r="A92" s="12"/>
    </row>
    <row r="93" spans="1:1" x14ac:dyDescent="0.3">
      <c r="A93" s="12"/>
    </row>
    <row r="94" spans="1:1" x14ac:dyDescent="0.3">
      <c r="A94" s="12"/>
    </row>
    <row r="95" spans="1:1" x14ac:dyDescent="0.3">
      <c r="A95" s="12"/>
    </row>
    <row r="96" spans="1:1" x14ac:dyDescent="0.3">
      <c r="A96" s="12"/>
    </row>
    <row r="97" spans="1:1" x14ac:dyDescent="0.3">
      <c r="A97" s="12"/>
    </row>
    <row r="98" spans="1:1" x14ac:dyDescent="0.3">
      <c r="A98" s="12"/>
    </row>
    <row r="99" spans="1:1" x14ac:dyDescent="0.3">
      <c r="A99" s="12"/>
    </row>
    <row r="100" spans="1:1" x14ac:dyDescent="0.3">
      <c r="A100" s="12"/>
    </row>
    <row r="101" spans="1:1" x14ac:dyDescent="0.3">
      <c r="A101" s="12"/>
    </row>
    <row r="102" spans="1:1" x14ac:dyDescent="0.3">
      <c r="A102" s="12"/>
    </row>
    <row r="103" spans="1:1" x14ac:dyDescent="0.3">
      <c r="A103" s="12"/>
    </row>
    <row r="104" spans="1:1" x14ac:dyDescent="0.3">
      <c r="A104" s="12"/>
    </row>
    <row r="105" spans="1:1" x14ac:dyDescent="0.3">
      <c r="A105" s="12"/>
    </row>
    <row r="106" spans="1:1" x14ac:dyDescent="0.3">
      <c r="A106" s="12"/>
    </row>
    <row r="107" spans="1:1" x14ac:dyDescent="0.3">
      <c r="A107" s="12"/>
    </row>
    <row r="108" spans="1:1" x14ac:dyDescent="0.3">
      <c r="A108" s="12"/>
    </row>
    <row r="109" spans="1:1" x14ac:dyDescent="0.3">
      <c r="A109" s="12"/>
    </row>
    <row r="110" spans="1:1" x14ac:dyDescent="0.3">
      <c r="A110" s="12"/>
    </row>
    <row r="111" spans="1:1" x14ac:dyDescent="0.3">
      <c r="A111" s="12"/>
    </row>
    <row r="112" spans="1:1" x14ac:dyDescent="0.3">
      <c r="A112" s="12"/>
    </row>
    <row r="113" spans="1:1" x14ac:dyDescent="0.3">
      <c r="A113" s="12"/>
    </row>
    <row r="114" spans="1:1" x14ac:dyDescent="0.3">
      <c r="A114" s="12"/>
    </row>
    <row r="115" spans="1:1" x14ac:dyDescent="0.3">
      <c r="A115" s="12"/>
    </row>
    <row r="116" spans="1:1" x14ac:dyDescent="0.3">
      <c r="A116" s="12"/>
    </row>
    <row r="117" spans="1:1" x14ac:dyDescent="0.3">
      <c r="A117" s="12"/>
    </row>
    <row r="118" spans="1:1" x14ac:dyDescent="0.3">
      <c r="A118" s="12"/>
    </row>
    <row r="119" spans="1:1" x14ac:dyDescent="0.3">
      <c r="A119" s="12"/>
    </row>
    <row r="120" spans="1:1" x14ac:dyDescent="0.3">
      <c r="A120" s="12"/>
    </row>
    <row r="121" spans="1:1" x14ac:dyDescent="0.3">
      <c r="A121" s="12"/>
    </row>
    <row r="122" spans="1:1" x14ac:dyDescent="0.3">
      <c r="A122" s="12"/>
    </row>
    <row r="123" spans="1:1" x14ac:dyDescent="0.3">
      <c r="A123" s="12"/>
    </row>
    <row r="124" spans="1:1" x14ac:dyDescent="0.3">
      <c r="A124" s="12"/>
    </row>
    <row r="125" spans="1:1" x14ac:dyDescent="0.3">
      <c r="A125" s="12"/>
    </row>
    <row r="126" spans="1:1" x14ac:dyDescent="0.3">
      <c r="A126" s="12"/>
    </row>
    <row r="127" spans="1:1" x14ac:dyDescent="0.3">
      <c r="A127" s="12"/>
    </row>
    <row r="128" spans="1:1" x14ac:dyDescent="0.3">
      <c r="A128" s="12"/>
    </row>
    <row r="129" spans="1:1" x14ac:dyDescent="0.3">
      <c r="A129" s="12"/>
    </row>
    <row r="130" spans="1:1" x14ac:dyDescent="0.3">
      <c r="A130" s="12"/>
    </row>
    <row r="131" spans="1:1" x14ac:dyDescent="0.3">
      <c r="A131" s="12"/>
    </row>
    <row r="132" spans="1:1" x14ac:dyDescent="0.3">
      <c r="A132" s="12"/>
    </row>
    <row r="133" spans="1:1" x14ac:dyDescent="0.3">
      <c r="A133" s="12"/>
    </row>
    <row r="134" spans="1:1" x14ac:dyDescent="0.3">
      <c r="A134" s="12"/>
    </row>
    <row r="135" spans="1:1" x14ac:dyDescent="0.3">
      <c r="A135" s="12"/>
    </row>
    <row r="136" spans="1:1" x14ac:dyDescent="0.3">
      <c r="A136" s="12"/>
    </row>
    <row r="137" spans="1:1" x14ac:dyDescent="0.3">
      <c r="A137" s="12"/>
    </row>
    <row r="138" spans="1:1" x14ac:dyDescent="0.3">
      <c r="A138" s="12"/>
    </row>
    <row r="139" spans="1:1" x14ac:dyDescent="0.3">
      <c r="A139" s="12"/>
    </row>
    <row r="140" spans="1:1" x14ac:dyDescent="0.3">
      <c r="A140" s="12"/>
    </row>
    <row r="141" spans="1:1" x14ac:dyDescent="0.3">
      <c r="A141" s="12"/>
    </row>
    <row r="142" spans="1:1" x14ac:dyDescent="0.3">
      <c r="A142" s="12"/>
    </row>
    <row r="143" spans="1:1" x14ac:dyDescent="0.3">
      <c r="A143" s="12"/>
    </row>
    <row r="144" spans="1:1" x14ac:dyDescent="0.3">
      <c r="A144" s="12"/>
    </row>
    <row r="145" spans="1:1" x14ac:dyDescent="0.3">
      <c r="A145" s="12"/>
    </row>
    <row r="146" spans="1:1" x14ac:dyDescent="0.3">
      <c r="A146" s="12"/>
    </row>
    <row r="147" spans="1:1" x14ac:dyDescent="0.3">
      <c r="A147" s="12"/>
    </row>
    <row r="148" spans="1:1" x14ac:dyDescent="0.3">
      <c r="A148" s="12"/>
    </row>
    <row r="149" spans="1:1" x14ac:dyDescent="0.3">
      <c r="A149" s="12"/>
    </row>
    <row r="150" spans="1:1" x14ac:dyDescent="0.3">
      <c r="A150" s="12"/>
    </row>
    <row r="151" spans="1:1" x14ac:dyDescent="0.3">
      <c r="A151" s="12"/>
    </row>
    <row r="152" spans="1:1" x14ac:dyDescent="0.3">
      <c r="A152" s="12"/>
    </row>
    <row r="153" spans="1:1" x14ac:dyDescent="0.3">
      <c r="A153" s="12"/>
    </row>
    <row r="154" spans="1:1" x14ac:dyDescent="0.3">
      <c r="A154" s="12"/>
    </row>
    <row r="155" spans="1:1" x14ac:dyDescent="0.3">
      <c r="A155" s="12"/>
    </row>
    <row r="156" spans="1:1" x14ac:dyDescent="0.3">
      <c r="A156" s="12"/>
    </row>
    <row r="157" spans="1:1" x14ac:dyDescent="0.3">
      <c r="A157" s="12"/>
    </row>
    <row r="158" spans="1:1" x14ac:dyDescent="0.3">
      <c r="A158" s="12"/>
    </row>
    <row r="159" spans="1:1" x14ac:dyDescent="0.3">
      <c r="A159" s="12"/>
    </row>
    <row r="160" spans="1:1" x14ac:dyDescent="0.3">
      <c r="A160" s="12"/>
    </row>
    <row r="161" spans="1:1" x14ac:dyDescent="0.3">
      <c r="A161" s="12"/>
    </row>
    <row r="162" spans="1:1" x14ac:dyDescent="0.3">
      <c r="A162" s="12"/>
    </row>
    <row r="163" spans="1:1" x14ac:dyDescent="0.3">
      <c r="A163" s="12"/>
    </row>
    <row r="164" spans="1:1" x14ac:dyDescent="0.3">
      <c r="A164" s="12"/>
    </row>
    <row r="165" spans="1:1" x14ac:dyDescent="0.3">
      <c r="A165" s="12"/>
    </row>
    <row r="166" spans="1:1" x14ac:dyDescent="0.3">
      <c r="A166" s="12"/>
    </row>
    <row r="167" spans="1:1" x14ac:dyDescent="0.3">
      <c r="A167" s="12"/>
    </row>
    <row r="168" spans="1:1" x14ac:dyDescent="0.3">
      <c r="A168" s="12"/>
    </row>
    <row r="169" spans="1:1" x14ac:dyDescent="0.3">
      <c r="A169" s="12"/>
    </row>
    <row r="170" spans="1:1" x14ac:dyDescent="0.3">
      <c r="A170" s="12"/>
    </row>
    <row r="171" spans="1:1" x14ac:dyDescent="0.3">
      <c r="A171" s="12"/>
    </row>
    <row r="172" spans="1:1" x14ac:dyDescent="0.3">
      <c r="A172" s="12"/>
    </row>
    <row r="173" spans="1:1" x14ac:dyDescent="0.3">
      <c r="A173" s="12"/>
    </row>
    <row r="174" spans="1:1" x14ac:dyDescent="0.3">
      <c r="A174" s="12"/>
    </row>
    <row r="175" spans="1:1" x14ac:dyDescent="0.3">
      <c r="A175" s="12"/>
    </row>
    <row r="176" spans="1:1" x14ac:dyDescent="0.3">
      <c r="A176" s="12"/>
    </row>
    <row r="177" spans="1:1" x14ac:dyDescent="0.3">
      <c r="A177" s="12"/>
    </row>
    <row r="178" spans="1:1" x14ac:dyDescent="0.3">
      <c r="A178" s="12"/>
    </row>
    <row r="179" spans="1:1" x14ac:dyDescent="0.3">
      <c r="A179" s="12"/>
    </row>
    <row r="180" spans="1:1" x14ac:dyDescent="0.3">
      <c r="A180" s="12"/>
    </row>
    <row r="181" spans="1:1" x14ac:dyDescent="0.3">
      <c r="A181" s="12"/>
    </row>
    <row r="182" spans="1:1" x14ac:dyDescent="0.3">
      <c r="A182" s="12"/>
    </row>
    <row r="183" spans="1:1" x14ac:dyDescent="0.3">
      <c r="A183" s="12"/>
    </row>
    <row r="184" spans="1:1" x14ac:dyDescent="0.3">
      <c r="A184" s="12"/>
    </row>
    <row r="185" spans="1:1" x14ac:dyDescent="0.3">
      <c r="A185" s="12"/>
    </row>
    <row r="186" spans="1:1" x14ac:dyDescent="0.3">
      <c r="A186" s="12"/>
    </row>
    <row r="187" spans="1:1" x14ac:dyDescent="0.3">
      <c r="A187" s="12"/>
    </row>
    <row r="188" spans="1:1" x14ac:dyDescent="0.3">
      <c r="A188" s="12"/>
    </row>
    <row r="189" spans="1:1" x14ac:dyDescent="0.3">
      <c r="A189" s="12"/>
    </row>
    <row r="190" spans="1:1" x14ac:dyDescent="0.3">
      <c r="A190" s="12"/>
    </row>
    <row r="191" spans="1:1" x14ac:dyDescent="0.3">
      <c r="A191" s="12"/>
    </row>
    <row r="192" spans="1:1" x14ac:dyDescent="0.3">
      <c r="A192" s="12"/>
    </row>
    <row r="193" spans="1:1" x14ac:dyDescent="0.3">
      <c r="A193" s="12"/>
    </row>
    <row r="194" spans="1:1" x14ac:dyDescent="0.3">
      <c r="A194" s="12"/>
    </row>
    <row r="195" spans="1:1" x14ac:dyDescent="0.3">
      <c r="A195" s="12"/>
    </row>
    <row r="196" spans="1:1" x14ac:dyDescent="0.3">
      <c r="A196" s="12"/>
    </row>
    <row r="197" spans="1:1" x14ac:dyDescent="0.3">
      <c r="A197" s="12"/>
    </row>
    <row r="198" spans="1:1" x14ac:dyDescent="0.3">
      <c r="A198" s="12"/>
    </row>
    <row r="199" spans="1:1" x14ac:dyDescent="0.3">
      <c r="A199" s="12"/>
    </row>
    <row r="200" spans="1:1" x14ac:dyDescent="0.3">
      <c r="A200" s="12"/>
    </row>
    <row r="201" spans="1:1" x14ac:dyDescent="0.3">
      <c r="A201" s="12"/>
    </row>
    <row r="202" spans="1:1" x14ac:dyDescent="0.3">
      <c r="A202" s="12"/>
    </row>
    <row r="203" spans="1:1" x14ac:dyDescent="0.3">
      <c r="A203" s="12"/>
    </row>
    <row r="204" spans="1:1" x14ac:dyDescent="0.3">
      <c r="A204" s="12"/>
    </row>
    <row r="205" spans="1:1" x14ac:dyDescent="0.3">
      <c r="A205" s="12"/>
    </row>
    <row r="206" spans="1:1" x14ac:dyDescent="0.3">
      <c r="A206" s="12"/>
    </row>
    <row r="207" spans="1:1" x14ac:dyDescent="0.3">
      <c r="A207" s="12"/>
    </row>
    <row r="208" spans="1:1" x14ac:dyDescent="0.3">
      <c r="A208" s="12"/>
    </row>
    <row r="209" spans="1:1" x14ac:dyDescent="0.3">
      <c r="A209" s="12"/>
    </row>
    <row r="210" spans="1:1" x14ac:dyDescent="0.3">
      <c r="A210" s="12"/>
    </row>
    <row r="211" spans="1:1" x14ac:dyDescent="0.3">
      <c r="A211" s="12"/>
    </row>
    <row r="212" spans="1:1" x14ac:dyDescent="0.3">
      <c r="A212" s="12"/>
    </row>
    <row r="213" spans="1:1" x14ac:dyDescent="0.3">
      <c r="A213" s="12"/>
    </row>
    <row r="214" spans="1:1" x14ac:dyDescent="0.3">
      <c r="A214" s="12"/>
    </row>
    <row r="215" spans="1:1" x14ac:dyDescent="0.3">
      <c r="A215" s="12"/>
    </row>
    <row r="216" spans="1:1" x14ac:dyDescent="0.3">
      <c r="A216" s="12"/>
    </row>
    <row r="217" spans="1:1" x14ac:dyDescent="0.3">
      <c r="A217" s="12"/>
    </row>
    <row r="218" spans="1:1" x14ac:dyDescent="0.3">
      <c r="A218" s="12"/>
    </row>
    <row r="219" spans="1:1" x14ac:dyDescent="0.3">
      <c r="A219" s="12"/>
    </row>
    <row r="220" spans="1:1" x14ac:dyDescent="0.3">
      <c r="A220" s="12"/>
    </row>
    <row r="221" spans="1:1" x14ac:dyDescent="0.3">
      <c r="A221" s="12"/>
    </row>
    <row r="222" spans="1:1" x14ac:dyDescent="0.3">
      <c r="A222" s="12"/>
    </row>
    <row r="223" spans="1:1" x14ac:dyDescent="0.3">
      <c r="A223" s="12"/>
    </row>
    <row r="224" spans="1:1" x14ac:dyDescent="0.3">
      <c r="A224" s="12"/>
    </row>
    <row r="225" spans="1:1" x14ac:dyDescent="0.3">
      <c r="A225" s="12"/>
    </row>
    <row r="226" spans="1:1" x14ac:dyDescent="0.3">
      <c r="A226" s="12"/>
    </row>
    <row r="227" spans="1:1" x14ac:dyDescent="0.3">
      <c r="A227" s="12"/>
    </row>
    <row r="228" spans="1:1" x14ac:dyDescent="0.3">
      <c r="A228" s="12"/>
    </row>
    <row r="229" spans="1:1" x14ac:dyDescent="0.3">
      <c r="A229" s="12"/>
    </row>
    <row r="230" spans="1:1" x14ac:dyDescent="0.3">
      <c r="A230" s="12"/>
    </row>
    <row r="231" spans="1:1" x14ac:dyDescent="0.3">
      <c r="A231" s="12"/>
    </row>
    <row r="232" spans="1:1" x14ac:dyDescent="0.3">
      <c r="A232" s="12"/>
    </row>
    <row r="233" spans="1:1" x14ac:dyDescent="0.3">
      <c r="A233" s="12"/>
    </row>
    <row r="234" spans="1:1" x14ac:dyDescent="0.3">
      <c r="A234" s="12"/>
    </row>
    <row r="235" spans="1:1" x14ac:dyDescent="0.3">
      <c r="A235" s="12"/>
    </row>
    <row r="236" spans="1:1" x14ac:dyDescent="0.3">
      <c r="A236" s="12"/>
    </row>
    <row r="237" spans="1:1" x14ac:dyDescent="0.3">
      <c r="A237" s="12"/>
    </row>
    <row r="238" spans="1:1" x14ac:dyDescent="0.3">
      <c r="A238" s="12"/>
    </row>
    <row r="239" spans="1:1" x14ac:dyDescent="0.3">
      <c r="A239" s="12"/>
    </row>
    <row r="240" spans="1:1" x14ac:dyDescent="0.3">
      <c r="A240" s="12"/>
    </row>
    <row r="241" spans="1:1" x14ac:dyDescent="0.3">
      <c r="A241" s="12"/>
    </row>
    <row r="242" spans="1:1" x14ac:dyDescent="0.3">
      <c r="A242" s="12"/>
    </row>
    <row r="243" spans="1:1" x14ac:dyDescent="0.3">
      <c r="A243" s="12"/>
    </row>
    <row r="244" spans="1:1" x14ac:dyDescent="0.3">
      <c r="A244" s="12"/>
    </row>
    <row r="245" spans="1:1" x14ac:dyDescent="0.3">
      <c r="A245" s="12"/>
    </row>
    <row r="246" spans="1:1" x14ac:dyDescent="0.3">
      <c r="A246" s="12"/>
    </row>
    <row r="247" spans="1:1" x14ac:dyDescent="0.3">
      <c r="A247" s="12"/>
    </row>
    <row r="248" spans="1:1" x14ac:dyDescent="0.3">
      <c r="A248" s="12"/>
    </row>
    <row r="249" spans="1:1" x14ac:dyDescent="0.3">
      <c r="A249" s="12"/>
    </row>
    <row r="250" spans="1:1" x14ac:dyDescent="0.3">
      <c r="A250" s="12"/>
    </row>
    <row r="251" spans="1:1" x14ac:dyDescent="0.3">
      <c r="A251" s="12"/>
    </row>
    <row r="252" spans="1:1" x14ac:dyDescent="0.3">
      <c r="A252" s="12"/>
    </row>
    <row r="253" spans="1:1" x14ac:dyDescent="0.3">
      <c r="A253" s="12"/>
    </row>
    <row r="254" spans="1:1" x14ac:dyDescent="0.3">
      <c r="A254" s="12"/>
    </row>
    <row r="255" spans="1:1" x14ac:dyDescent="0.3">
      <c r="A255" s="12"/>
    </row>
    <row r="256" spans="1:1" x14ac:dyDescent="0.3">
      <c r="A256" s="12"/>
    </row>
    <row r="257" spans="1:1" x14ac:dyDescent="0.3">
      <c r="A257" s="12"/>
    </row>
    <row r="258" spans="1:1" x14ac:dyDescent="0.3">
      <c r="A258" s="12"/>
    </row>
    <row r="259" spans="1:1" x14ac:dyDescent="0.3">
      <c r="A259" s="12"/>
    </row>
    <row r="260" spans="1:1" x14ac:dyDescent="0.3">
      <c r="A260" s="12"/>
    </row>
    <row r="261" spans="1:1" x14ac:dyDescent="0.3">
      <c r="A261" s="12"/>
    </row>
    <row r="262" spans="1:1" x14ac:dyDescent="0.3">
      <c r="A262" s="12"/>
    </row>
    <row r="263" spans="1:1" x14ac:dyDescent="0.3">
      <c r="A263" s="12"/>
    </row>
    <row r="264" spans="1:1" x14ac:dyDescent="0.3">
      <c r="A264" s="12"/>
    </row>
    <row r="265" spans="1:1" x14ac:dyDescent="0.3">
      <c r="A265" s="12"/>
    </row>
    <row r="266" spans="1:1" x14ac:dyDescent="0.3">
      <c r="A266" s="12"/>
    </row>
    <row r="267" spans="1:1" x14ac:dyDescent="0.3">
      <c r="A267" s="12"/>
    </row>
    <row r="268" spans="1:1" x14ac:dyDescent="0.3">
      <c r="A268" s="12"/>
    </row>
    <row r="269" spans="1:1" x14ac:dyDescent="0.3">
      <c r="A269" s="12"/>
    </row>
    <row r="270" spans="1:1" x14ac:dyDescent="0.3">
      <c r="A270" s="12"/>
    </row>
    <row r="271" spans="1:1" x14ac:dyDescent="0.3">
      <c r="A271" s="12"/>
    </row>
    <row r="272" spans="1:1" x14ac:dyDescent="0.3">
      <c r="A272" s="12"/>
    </row>
    <row r="273" spans="1:1" x14ac:dyDescent="0.3">
      <c r="A273" s="12"/>
    </row>
    <row r="274" spans="1:1" x14ac:dyDescent="0.3">
      <c r="A274" s="12"/>
    </row>
    <row r="275" spans="1:1" x14ac:dyDescent="0.3">
      <c r="A275" s="12"/>
    </row>
    <row r="276" spans="1:1" x14ac:dyDescent="0.3">
      <c r="A276" s="12"/>
    </row>
    <row r="277" spans="1:1" x14ac:dyDescent="0.3">
      <c r="A277" s="12"/>
    </row>
    <row r="278" spans="1:1" x14ac:dyDescent="0.3">
      <c r="A278" s="12"/>
    </row>
    <row r="279" spans="1:1" x14ac:dyDescent="0.3">
      <c r="A279" s="12"/>
    </row>
    <row r="280" spans="1:1" x14ac:dyDescent="0.3">
      <c r="A280" s="12"/>
    </row>
    <row r="281" spans="1:1" x14ac:dyDescent="0.3">
      <c r="A281" s="12"/>
    </row>
    <row r="282" spans="1:1" x14ac:dyDescent="0.3">
      <c r="A282" s="12"/>
    </row>
    <row r="283" spans="1:1" x14ac:dyDescent="0.3">
      <c r="A283" s="12"/>
    </row>
    <row r="284" spans="1:1" x14ac:dyDescent="0.3">
      <c r="A284" s="12"/>
    </row>
    <row r="285" spans="1:1" x14ac:dyDescent="0.3">
      <c r="A285" s="12"/>
    </row>
    <row r="286" spans="1:1" x14ac:dyDescent="0.3">
      <c r="A286" s="12"/>
    </row>
    <row r="287" spans="1:1" x14ac:dyDescent="0.3">
      <c r="A287" s="12"/>
    </row>
    <row r="288" spans="1:1" x14ac:dyDescent="0.3">
      <c r="A288" s="12"/>
    </row>
    <row r="289" spans="1:1" x14ac:dyDescent="0.3">
      <c r="A289" s="12"/>
    </row>
    <row r="290" spans="1:1" x14ac:dyDescent="0.3">
      <c r="A290" s="12"/>
    </row>
    <row r="291" spans="1:1" x14ac:dyDescent="0.3">
      <c r="A291" s="12"/>
    </row>
    <row r="292" spans="1:1" x14ac:dyDescent="0.3">
      <c r="A292" s="12"/>
    </row>
    <row r="293" spans="1:1" x14ac:dyDescent="0.3">
      <c r="A293" s="12"/>
    </row>
    <row r="294" spans="1:1" x14ac:dyDescent="0.3">
      <c r="A294" s="12"/>
    </row>
    <row r="295" spans="1:1" x14ac:dyDescent="0.3">
      <c r="A295" s="12"/>
    </row>
    <row r="296" spans="1:1" x14ac:dyDescent="0.3">
      <c r="A296" s="12"/>
    </row>
    <row r="297" spans="1:1" x14ac:dyDescent="0.3">
      <c r="A297" s="12"/>
    </row>
    <row r="298" spans="1:1" x14ac:dyDescent="0.3">
      <c r="A298" s="12"/>
    </row>
    <row r="299" spans="1:1" x14ac:dyDescent="0.3">
      <c r="A299" s="12"/>
    </row>
    <row r="300" spans="1:1" x14ac:dyDescent="0.3">
      <c r="A300" s="12"/>
    </row>
    <row r="301" spans="1:1" x14ac:dyDescent="0.3">
      <c r="A301" s="12"/>
    </row>
    <row r="302" spans="1:1" x14ac:dyDescent="0.3">
      <c r="A302" s="12"/>
    </row>
    <row r="303" spans="1:1" x14ac:dyDescent="0.3">
      <c r="A303" s="12"/>
    </row>
    <row r="304" spans="1:1" x14ac:dyDescent="0.3">
      <c r="A304" s="12"/>
    </row>
    <row r="305" spans="1:1" x14ac:dyDescent="0.3">
      <c r="A305" s="12"/>
    </row>
    <row r="306" spans="1:1" x14ac:dyDescent="0.3">
      <c r="A306" s="12"/>
    </row>
    <row r="307" spans="1:1" x14ac:dyDescent="0.3">
      <c r="A307" s="12"/>
    </row>
    <row r="308" spans="1:1" x14ac:dyDescent="0.3">
      <c r="A308" s="12"/>
    </row>
    <row r="309" spans="1:1" x14ac:dyDescent="0.3">
      <c r="A309" s="12"/>
    </row>
    <row r="310" spans="1:1" x14ac:dyDescent="0.3">
      <c r="A310" s="12"/>
    </row>
    <row r="311" spans="1:1" x14ac:dyDescent="0.3">
      <c r="A311" s="12"/>
    </row>
    <row r="312" spans="1:1" x14ac:dyDescent="0.3">
      <c r="A312" s="12"/>
    </row>
    <row r="313" spans="1:1" x14ac:dyDescent="0.3">
      <c r="A313" s="12"/>
    </row>
    <row r="314" spans="1:1" x14ac:dyDescent="0.3">
      <c r="A314" s="12"/>
    </row>
    <row r="315" spans="1:1" x14ac:dyDescent="0.3">
      <c r="A315" s="12"/>
    </row>
    <row r="316" spans="1:1" x14ac:dyDescent="0.3">
      <c r="A316" s="12"/>
    </row>
    <row r="317" spans="1:1" x14ac:dyDescent="0.3">
      <c r="A317" s="12"/>
    </row>
    <row r="318" spans="1:1" x14ac:dyDescent="0.3">
      <c r="A318" s="12"/>
    </row>
    <row r="319" spans="1:1" x14ac:dyDescent="0.3">
      <c r="A319" s="12"/>
    </row>
    <row r="320" spans="1:1" x14ac:dyDescent="0.3">
      <c r="A320" s="12"/>
    </row>
    <row r="321" spans="1:1" x14ac:dyDescent="0.3">
      <c r="A321" s="12"/>
    </row>
    <row r="322" spans="1:1" x14ac:dyDescent="0.3">
      <c r="A322" s="12"/>
    </row>
    <row r="323" spans="1:1" x14ac:dyDescent="0.3">
      <c r="A323" s="12"/>
    </row>
    <row r="324" spans="1:1" x14ac:dyDescent="0.3">
      <c r="A324" s="12"/>
    </row>
    <row r="325" spans="1:1" x14ac:dyDescent="0.3">
      <c r="A325" s="12"/>
    </row>
    <row r="326" spans="1:1" x14ac:dyDescent="0.3">
      <c r="A326" s="12"/>
    </row>
    <row r="327" spans="1:1" x14ac:dyDescent="0.3">
      <c r="A327" s="12"/>
    </row>
    <row r="328" spans="1:1" x14ac:dyDescent="0.3">
      <c r="A328" s="12"/>
    </row>
    <row r="329" spans="1:1" x14ac:dyDescent="0.3">
      <c r="A329" s="12"/>
    </row>
    <row r="330" spans="1:1" x14ac:dyDescent="0.3">
      <c r="A330" s="12"/>
    </row>
    <row r="331" spans="1:1" x14ac:dyDescent="0.3">
      <c r="A331" s="12"/>
    </row>
    <row r="332" spans="1:1" x14ac:dyDescent="0.3">
      <c r="A332" s="12"/>
    </row>
    <row r="333" spans="1:1" x14ac:dyDescent="0.3">
      <c r="A333" s="12"/>
    </row>
    <row r="334" spans="1:1" x14ac:dyDescent="0.3">
      <c r="A334" s="12"/>
    </row>
    <row r="335" spans="1:1" x14ac:dyDescent="0.3">
      <c r="A335" s="12"/>
    </row>
    <row r="336" spans="1:1" x14ac:dyDescent="0.3">
      <c r="A336" s="12"/>
    </row>
    <row r="337" spans="1:1" x14ac:dyDescent="0.3">
      <c r="A337" s="12"/>
    </row>
    <row r="338" spans="1:1" x14ac:dyDescent="0.3">
      <c r="A338" s="12"/>
    </row>
    <row r="339" spans="1:1" x14ac:dyDescent="0.3">
      <c r="A339" s="12"/>
    </row>
    <row r="340" spans="1:1" x14ac:dyDescent="0.3">
      <c r="A340" s="12"/>
    </row>
    <row r="341" spans="1:1" x14ac:dyDescent="0.3">
      <c r="A341" s="12"/>
    </row>
    <row r="342" spans="1:1" x14ac:dyDescent="0.3">
      <c r="A342" s="12"/>
    </row>
    <row r="343" spans="1:1" x14ac:dyDescent="0.3">
      <c r="A343" s="12"/>
    </row>
    <row r="344" spans="1:1" x14ac:dyDescent="0.3">
      <c r="A344" s="12"/>
    </row>
    <row r="345" spans="1:1" x14ac:dyDescent="0.3">
      <c r="A345" s="12"/>
    </row>
    <row r="346" spans="1:1" x14ac:dyDescent="0.3">
      <c r="A346" s="12"/>
    </row>
  </sheetData>
  <sheetProtection algorithmName="SHA-512" hashValue="FYXu4O4/bwRpsVI2c/hOXeac534/KvDGlFcogtLjCZCbc0O4OmJS5Ojei4GO2iUxcHZMuypPZo4P/2/HIJP+QA==" saltValue="LXP1QlyINZMiue9Jfn3k+Q==" spinCount="100000" sheet="1" objects="1" scenarios="1" selectLockedCells="1" selectUnlockedCells="1"/>
  <mergeCells count="1">
    <mergeCell ref="A1:Q1"/>
  </mergeCells>
  <phoneticPr fontId="2" type="noConversion"/>
  <dataValidations count="1">
    <dataValidation type="textLength" errorStyle="warning" operator="lessThanOrEqual" allowBlank="1" showInputMessage="1" showErrorMessage="1" errorTitle="Too many characters for Tweeter!" error="If are planning on tweeting that, try cutting down to the essentials or try creating a Chain of Tweets!" sqref="L2:L1048576 J2:J1048576 H2:H1048576" xr:uid="{D83D6D43-0964-40D7-B356-CE5F068DE9C3}">
      <formula1>280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72D41-9980-4E8D-BD23-524206F0840F}">
  <sheetPr codeName="Sheet4"/>
  <dimension ref="A1:X45"/>
  <sheetViews>
    <sheetView zoomScale="70" zoomScaleNormal="70" workbookViewId="0">
      <selection activeCell="B8" sqref="B8"/>
    </sheetView>
  </sheetViews>
  <sheetFormatPr defaultRowHeight="18.75" x14ac:dyDescent="0.3"/>
  <cols>
    <col min="1" max="1" width="9.140625" style="9"/>
    <col min="2" max="3" width="18.42578125" style="9" customWidth="1"/>
    <col min="4" max="4" width="26" style="9" customWidth="1"/>
    <col min="5" max="6" width="18.42578125" style="9" customWidth="1"/>
    <col min="7" max="7" width="16.85546875" style="9" customWidth="1"/>
    <col min="8" max="8" width="16" style="9" customWidth="1"/>
    <col min="9" max="9" width="11" style="9" customWidth="1"/>
    <col min="10" max="11" width="18.42578125" style="9" customWidth="1"/>
    <col min="12" max="12" width="14.42578125" style="9" customWidth="1"/>
    <col min="13" max="14" width="12.85546875" style="9" customWidth="1"/>
    <col min="15" max="15" width="18.42578125" style="9" customWidth="1"/>
    <col min="16" max="16" width="17.7109375" style="9" customWidth="1"/>
    <col min="17" max="17" width="9.140625" style="9"/>
    <col min="18" max="18" width="10.42578125" style="9" customWidth="1"/>
    <col min="19" max="20" width="9.140625" style="9"/>
    <col min="21" max="21" width="17" style="9" customWidth="1"/>
    <col min="22" max="22" width="11.140625" style="9" customWidth="1"/>
    <col min="23" max="23" width="11.7109375" style="9" customWidth="1"/>
    <col min="24" max="24" width="9.140625" style="9"/>
    <col min="25" max="25" width="31.140625" style="9" customWidth="1"/>
    <col min="26" max="16384" width="9.140625" style="9"/>
  </cols>
  <sheetData>
    <row r="1" spans="1:24" x14ac:dyDescent="0.3">
      <c r="B1" s="52">
        <v>1</v>
      </c>
      <c r="C1" s="52">
        <v>2</v>
      </c>
      <c r="D1" s="52">
        <v>3</v>
      </c>
      <c r="E1" s="52">
        <v>4</v>
      </c>
      <c r="F1" s="28">
        <v>5</v>
      </c>
      <c r="G1" s="28"/>
      <c r="H1" s="28"/>
      <c r="I1" s="28"/>
      <c r="J1" s="28"/>
      <c r="K1" s="28"/>
      <c r="L1" s="28"/>
      <c r="M1" s="28"/>
    </row>
    <row r="2" spans="1:24" ht="18" customHeight="1" x14ac:dyDescent="0.3">
      <c r="A2" s="9" t="s">
        <v>7</v>
      </c>
      <c r="B2" s="44">
        <v>3</v>
      </c>
      <c r="C2" s="44">
        <v>1</v>
      </c>
      <c r="D2" s="44">
        <v>2</v>
      </c>
      <c r="E2" s="44">
        <v>9</v>
      </c>
      <c r="F2" s="9">
        <v>22</v>
      </c>
    </row>
    <row r="3" spans="1:24" x14ac:dyDescent="0.3">
      <c r="A3" s="9" t="s">
        <v>8</v>
      </c>
      <c r="B3" s="44">
        <v>4</v>
      </c>
      <c r="C3" s="44"/>
      <c r="D3" s="44"/>
      <c r="E3" s="44">
        <v>13</v>
      </c>
      <c r="F3" s="9">
        <v>19</v>
      </c>
    </row>
    <row r="4" spans="1:24" x14ac:dyDescent="0.3">
      <c r="A4" s="9" t="s">
        <v>9</v>
      </c>
      <c r="B4" s="44"/>
      <c r="C4" s="44"/>
      <c r="D4" s="44"/>
      <c r="E4" s="44"/>
      <c r="F4" s="9">
        <v>18</v>
      </c>
    </row>
    <row r="5" spans="1:24" x14ac:dyDescent="0.3">
      <c r="A5" s="9" t="s">
        <v>36</v>
      </c>
      <c r="B5" s="44"/>
      <c r="C5" s="44"/>
      <c r="D5" s="44"/>
      <c r="E5" s="44"/>
    </row>
    <row r="6" spans="1:24" x14ac:dyDescent="0.3">
      <c r="A6" s="9" t="s">
        <v>37</v>
      </c>
      <c r="B6" s="44"/>
      <c r="C6" s="44"/>
      <c r="D6" s="44"/>
      <c r="E6" s="44"/>
    </row>
    <row r="7" spans="1:24" x14ac:dyDescent="0.3">
      <c r="A7" s="9" t="s">
        <v>137</v>
      </c>
      <c r="B7" s="44"/>
      <c r="C7" s="44"/>
      <c r="D7" s="44"/>
      <c r="E7" s="44"/>
    </row>
    <row r="8" spans="1:24" x14ac:dyDescent="0.3">
      <c r="A8" s="9" t="s">
        <v>71</v>
      </c>
      <c r="B8" s="44"/>
      <c r="C8" s="44"/>
      <c r="D8" s="44"/>
      <c r="E8" s="44"/>
    </row>
    <row r="9" spans="1:24" x14ac:dyDescent="0.3">
      <c r="A9" s="9" t="s">
        <v>72</v>
      </c>
    </row>
    <row r="10" spans="1:24" x14ac:dyDescent="0.3">
      <c r="A10" s="9" t="s">
        <v>73</v>
      </c>
      <c r="J10" s="28"/>
    </row>
    <row r="11" spans="1:24" x14ac:dyDescent="0.3">
      <c r="A11" s="9" t="s">
        <v>74</v>
      </c>
      <c r="J11" s="28"/>
    </row>
    <row r="12" spans="1:24" x14ac:dyDescent="0.3">
      <c r="A12" s="9" t="s">
        <v>75</v>
      </c>
      <c r="K12" s="28"/>
    </row>
    <row r="13" spans="1:24" x14ac:dyDescent="0.3">
      <c r="A13" s="9" t="s">
        <v>76</v>
      </c>
      <c r="K13" s="28"/>
    </row>
    <row r="14" spans="1:24" x14ac:dyDescent="0.3">
      <c r="A14" s="9" t="s">
        <v>77</v>
      </c>
      <c r="K14" s="28"/>
      <c r="O14" s="28"/>
      <c r="P14" s="28"/>
      <c r="Q14" s="28"/>
      <c r="R14" s="28"/>
      <c r="S14" s="28"/>
      <c r="T14" s="28"/>
      <c r="U14" s="28"/>
      <c r="V14" s="28"/>
      <c r="W14" s="28"/>
      <c r="X14" s="28"/>
    </row>
    <row r="15" spans="1:24" x14ac:dyDescent="0.3">
      <c r="A15" s="9" t="s">
        <v>78</v>
      </c>
      <c r="K15" s="28"/>
    </row>
    <row r="16" spans="1:24" x14ac:dyDescent="0.3">
      <c r="A16" s="9" t="s">
        <v>79</v>
      </c>
      <c r="J16" s="28"/>
    </row>
    <row r="17" spans="1:10" x14ac:dyDescent="0.3">
      <c r="A17" s="9" t="s">
        <v>80</v>
      </c>
      <c r="J17" s="28"/>
    </row>
    <row r="18" spans="1:10" x14ac:dyDescent="0.3">
      <c r="A18" s="9" t="s">
        <v>81</v>
      </c>
    </row>
    <row r="19" spans="1:10" x14ac:dyDescent="0.3">
      <c r="A19" s="9" t="s">
        <v>82</v>
      </c>
    </row>
    <row r="20" spans="1:10" x14ac:dyDescent="0.3">
      <c r="A20" s="9" t="s">
        <v>83</v>
      </c>
    </row>
    <row r="21" spans="1:10" x14ac:dyDescent="0.3">
      <c r="A21" s="9" t="s">
        <v>84</v>
      </c>
    </row>
    <row r="22" spans="1:10" x14ac:dyDescent="0.3">
      <c r="B22" s="9" t="s">
        <v>61</v>
      </c>
      <c r="C22" s="9" t="s">
        <v>47</v>
      </c>
      <c r="D22" s="9" t="s">
        <v>7</v>
      </c>
      <c r="E22" s="9" t="s">
        <v>9</v>
      </c>
      <c r="F22" s="9" t="s">
        <v>50</v>
      </c>
    </row>
    <row r="23" spans="1:10" x14ac:dyDescent="0.3">
      <c r="B23" s="9" t="s">
        <v>62</v>
      </c>
      <c r="C23" s="9" t="s">
        <v>48</v>
      </c>
      <c r="D23" s="9" t="s">
        <v>8</v>
      </c>
      <c r="E23" s="9" t="s">
        <v>36</v>
      </c>
      <c r="F23" s="9" t="s">
        <v>51</v>
      </c>
    </row>
    <row r="24" spans="1:10" x14ac:dyDescent="0.3">
      <c r="B24" s="9" t="s">
        <v>63</v>
      </c>
      <c r="C24" s="9" t="s">
        <v>49</v>
      </c>
      <c r="E24" s="9" t="s">
        <v>37</v>
      </c>
    </row>
    <row r="25" spans="1:10" x14ac:dyDescent="0.3">
      <c r="B25" s="9" t="s">
        <v>64</v>
      </c>
    </row>
    <row r="26" spans="1:10" x14ac:dyDescent="0.3">
      <c r="B26" s="9" t="s">
        <v>65</v>
      </c>
    </row>
    <row r="45" spans="11:11" x14ac:dyDescent="0.3">
      <c r="K45" s="9" t="s">
        <v>27</v>
      </c>
    </row>
  </sheetData>
  <sheetProtection algorithmName="SHA-512" hashValue="5pYQE+75fSGXUewp+2ZDG9+7HU3lGdpQ0sxTnUOhAY0VsoK22UTla8A8XYLPIssw3n6bXH1WXD/Jm6mt22Xj/g==" saltValue="mJbh1z9Mr7nYBCn6uizekg==" spinCount="100000" sheet="1" objects="1" scenarios="1" selectLockedCells="1" selectUnlockedCells="1"/>
  <sortState xmlns:xlrd2="http://schemas.microsoft.com/office/spreadsheetml/2017/richdata2" ref="P2:P9">
    <sortCondition ref="P11"/>
  </sortState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C73EC-9A7C-4D8B-BF40-B69B294B3759}">
  <sheetPr codeName="Sheet1"/>
  <dimension ref="C5:S14"/>
  <sheetViews>
    <sheetView workbookViewId="0">
      <selection activeCell="I12" sqref="I12"/>
    </sheetView>
  </sheetViews>
  <sheetFormatPr defaultRowHeight="15" x14ac:dyDescent="0.25"/>
  <sheetData>
    <row r="5" spans="3:19" ht="18.75" x14ac:dyDescent="0.3">
      <c r="C5" s="2"/>
      <c r="D5" s="3"/>
      <c r="E5" s="3"/>
      <c r="F5" s="3"/>
      <c r="G5" s="3"/>
      <c r="H5" s="3"/>
      <c r="I5" s="3"/>
      <c r="J5" s="2"/>
      <c r="K5" s="2"/>
      <c r="L5" s="2"/>
      <c r="M5" s="2"/>
      <c r="N5" s="2"/>
      <c r="O5" s="2"/>
      <c r="P5" s="2"/>
      <c r="Q5" s="2"/>
      <c r="R5" s="2"/>
      <c r="S5" s="2"/>
    </row>
    <row r="6" spans="3:19" ht="18.75" x14ac:dyDescent="0.3"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</row>
    <row r="7" spans="3:19" ht="18.75" x14ac:dyDescent="0.3"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3:19" ht="18.75" x14ac:dyDescent="0.3">
      <c r="C8" s="2"/>
      <c r="D8" s="2"/>
      <c r="E8" s="2"/>
      <c r="F8" s="2"/>
      <c r="G8" s="2"/>
      <c r="H8" s="1"/>
      <c r="I8" s="1"/>
      <c r="J8" s="2"/>
      <c r="K8" s="2"/>
      <c r="L8" s="2"/>
      <c r="M8" s="2"/>
      <c r="N8" s="2"/>
      <c r="O8" s="2"/>
      <c r="P8" s="2"/>
      <c r="Q8" s="2"/>
      <c r="R8" s="2"/>
    </row>
    <row r="9" spans="3:19" ht="18.75" x14ac:dyDescent="0.3"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3:19" ht="18.75" x14ac:dyDescent="0.3">
      <c r="C10" s="2"/>
      <c r="D10" s="2"/>
      <c r="E10" s="2"/>
      <c r="F10" s="2"/>
      <c r="G10" s="2"/>
      <c r="H10" s="1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3:19" ht="18.75" x14ac:dyDescent="0.3"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3:19" ht="18.75" x14ac:dyDescent="0.3"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3:19" ht="18.75" x14ac:dyDescent="0.3"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3:19" ht="18.75" x14ac:dyDescent="0.3"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</sheetData>
  <sheetProtection sheet="1" objects="1" scenarios="1"/>
  <dataValidations count="1">
    <dataValidation type="textLength" errorStyle="warning" operator="lessThanOrEqual" allowBlank="1" showInputMessage="1" showErrorMessage="1" errorTitle="Too many characters for Tweeter!" error="If are planning on tweeting that, try cutting down to the essentials or try creating a Chain of Tweets!" sqref="N5:P5" xr:uid="{EC4670A4-EF66-4E21-ACEF-87D6017DA0AE}">
      <formula1>280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2B094-6648-4366-B63E-8C7C1AF07DD0}">
  <sheetPr codeName="Sheet3"/>
  <dimension ref="B3:J12"/>
  <sheetViews>
    <sheetView workbookViewId="0">
      <selection activeCell="W11" sqref="W11"/>
    </sheetView>
  </sheetViews>
  <sheetFormatPr defaultRowHeight="18.75" x14ac:dyDescent="0.3"/>
  <cols>
    <col min="1" max="1" width="9.140625" style="4"/>
    <col min="2" max="2" width="9.140625" style="4" hidden="1" customWidth="1"/>
    <col min="3" max="3" width="10.85546875" style="4" hidden="1" customWidth="1"/>
    <col min="4" max="4" width="11.7109375" style="4" hidden="1" customWidth="1"/>
    <col min="5" max="5" width="9.140625" style="4" hidden="1" customWidth="1"/>
    <col min="6" max="6" width="11.85546875" style="4" hidden="1" customWidth="1"/>
    <col min="7" max="7" width="9.140625" style="35" hidden="1" customWidth="1"/>
    <col min="8" max="8" width="19.28515625" style="4" hidden="1" customWidth="1"/>
    <col min="9" max="9" width="12.28515625" style="4" hidden="1" customWidth="1"/>
    <col min="10" max="10" width="0" style="4" hidden="1" customWidth="1"/>
    <col min="11" max="15" width="9.140625" style="4"/>
    <col min="16" max="16" width="8.85546875" style="4" customWidth="1"/>
    <col min="17" max="16384" width="9.140625" style="4"/>
  </cols>
  <sheetData>
    <row r="3" spans="2:10" x14ac:dyDescent="0.3">
      <c r="C3" s="5"/>
    </row>
    <row r="4" spans="2:10" x14ac:dyDescent="0.3">
      <c r="B4" s="4">
        <f>COUNTA(Data!D1:D100001)</f>
        <v>23</v>
      </c>
      <c r="C4" s="5"/>
    </row>
    <row r="5" spans="2:10" x14ac:dyDescent="0.3">
      <c r="C5" s="5"/>
    </row>
    <row r="6" spans="2:10" x14ac:dyDescent="0.3">
      <c r="C6" s="5"/>
    </row>
    <row r="7" spans="2:10" x14ac:dyDescent="0.3">
      <c r="C7" s="5"/>
    </row>
    <row r="8" spans="2:10" x14ac:dyDescent="0.3">
      <c r="H8" s="4" t="s">
        <v>70</v>
      </c>
      <c r="I8" s="4" t="s">
        <v>68</v>
      </c>
      <c r="J8" s="4" t="s">
        <v>69</v>
      </c>
    </row>
    <row r="9" spans="2:10" ht="19.5" customHeight="1" x14ac:dyDescent="0.3">
      <c r="B9" s="32" t="s">
        <v>31</v>
      </c>
      <c r="C9" s="32" t="s">
        <v>32</v>
      </c>
      <c r="D9" s="32" t="s">
        <v>33</v>
      </c>
      <c r="E9" s="32" t="s">
        <v>34</v>
      </c>
      <c r="F9" s="32" t="s">
        <v>35</v>
      </c>
    </row>
    <row r="10" spans="2:10" ht="19.5" customHeight="1" x14ac:dyDescent="0.3">
      <c r="B10" s="33">
        <v>1</v>
      </c>
      <c r="C10" s="34" t="s">
        <v>87</v>
      </c>
      <c r="D10" s="34" t="s">
        <v>86</v>
      </c>
      <c r="E10" s="34" t="s">
        <v>87</v>
      </c>
      <c r="F10" s="34">
        <v>1</v>
      </c>
    </row>
    <row r="11" spans="2:10" ht="19.5" customHeight="1" x14ac:dyDescent="0.3">
      <c r="B11" s="33">
        <v>2</v>
      </c>
      <c r="C11" s="34" t="s">
        <v>66</v>
      </c>
      <c r="D11" s="34" t="s">
        <v>1</v>
      </c>
      <c r="E11" s="34" t="s">
        <v>66</v>
      </c>
      <c r="F11" s="34">
        <v>0</v>
      </c>
    </row>
    <row r="12" spans="2:10" x14ac:dyDescent="0.3">
      <c r="B12" s="33">
        <v>3</v>
      </c>
      <c r="C12" s="34" t="s">
        <v>67</v>
      </c>
      <c r="D12" s="34" t="s">
        <v>85</v>
      </c>
      <c r="E12" s="34" t="s">
        <v>67</v>
      </c>
      <c r="F12" s="34">
        <v>0</v>
      </c>
    </row>
  </sheetData>
  <sheetProtection sheet="1" objects="1" scenarios="1" selectLockedCells="1" selectUnlockedCell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CE377642A0F448AE1EE889A7FC9EA1" ma:contentTypeVersion="9" ma:contentTypeDescription="Create a new document." ma:contentTypeScope="" ma:versionID="4262e3516ba3fc09eb1dc3920add100a">
  <xsd:schema xmlns:xsd="http://www.w3.org/2001/XMLSchema" xmlns:xs="http://www.w3.org/2001/XMLSchema" xmlns:p="http://schemas.microsoft.com/office/2006/metadata/properties" xmlns:ns3="45fc0f80-90e5-4320-b878-05baf5bf01ac" xmlns:ns4="05e41f13-770a-4ba3-a084-527da7222ebe" targetNamespace="http://schemas.microsoft.com/office/2006/metadata/properties" ma:root="true" ma:fieldsID="d446759da712e0c8af0b65a97e893558" ns3:_="" ns4:_="">
    <xsd:import namespace="45fc0f80-90e5-4320-b878-05baf5bf01ac"/>
    <xsd:import namespace="05e41f13-770a-4ba3-a084-527da7222eb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5fc0f80-90e5-4320-b878-05baf5bf01a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5e41f13-770a-4ba3-a084-527da7222ebe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138EC74-8F43-45E9-A3AE-0D05F502E09D}">
  <ds:schemaRefs>
    <ds:schemaRef ds:uri="http://purl.org/dc/dcmitype/"/>
    <ds:schemaRef ds:uri="http://purl.org/dc/terms/"/>
    <ds:schemaRef ds:uri="http://schemas.microsoft.com/office/2006/documentManagement/types"/>
    <ds:schemaRef ds:uri="http://purl.org/dc/elements/1.1/"/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05e41f13-770a-4ba3-a084-527da7222ebe"/>
    <ds:schemaRef ds:uri="http://schemas.microsoft.com/office/infopath/2007/PartnerControls"/>
    <ds:schemaRef ds:uri="45fc0f80-90e5-4320-b878-05baf5bf01ac"/>
  </ds:schemaRefs>
</ds:datastoreItem>
</file>

<file path=customXml/itemProps2.xml><?xml version="1.0" encoding="utf-8"?>
<ds:datastoreItem xmlns:ds="http://schemas.openxmlformats.org/officeDocument/2006/customXml" ds:itemID="{AB3B1A9D-9EB6-48D6-82F6-27F7E6FFC48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DEAADE1-8F98-4DD4-8563-B8B2143C4C4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5fc0f80-90e5-4320-b878-05baf5bf01ac"/>
    <ds:schemaRef ds:uri="05e41f13-770a-4ba3-a084-527da7222eb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Welcome</vt:lpstr>
      <vt:lpstr>Data</vt:lpstr>
      <vt:lpstr>Lists</vt:lpstr>
      <vt:lpstr>Statistics &amp; Visuals</vt:lpstr>
      <vt:lpstr>Engine</vt:lpstr>
      <vt:lpstr>Data_Mid</vt:lpstr>
      <vt:lpstr>Data_Start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Chris</cp:lastModifiedBy>
  <cp:lastPrinted>2020-05-19T11:14:46Z</cp:lastPrinted>
  <dcterms:created xsi:type="dcterms:W3CDTF">2020-05-08T09:13:24Z</dcterms:created>
  <dcterms:modified xsi:type="dcterms:W3CDTF">2020-06-04T20:20:55Z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0x010100CDCE377642A0F448AE1EE889A7FC9EA1</vt:lpwstr>
  </property>
</Properties>
</file>